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diaz/AG LAB S.A.S Dropbox/Dropbox Mixto/AZZORTI/DISEÑO MODA DUPREE/DANI DIAZ/ENSAYO PYTHON/APP FICHAS/templates/"/>
    </mc:Choice>
  </mc:AlternateContent>
  <xr:revisionPtr revIDLastSave="0" documentId="13_ncr:1_{D242A231-5BB2-FC4F-AE8E-B3BEF8C9EDD8}" xr6:coauthVersionLast="47" xr6:coauthVersionMax="47" xr10:uidLastSave="{00000000-0000-0000-0000-000000000000}"/>
  <bookViews>
    <workbookView xWindow="0" yWindow="500" windowWidth="51200" windowHeight="26500" activeTab="1" xr2:uid="{71BC9C75-528F-411B-884F-01E3D2B7442D}"/>
  </bookViews>
  <sheets>
    <sheet name="FICHA" sheetId="1" r:id="rId1"/>
    <sheet name="DATOS" sheetId="2" r:id="rId2"/>
    <sheet name="PLANTILLA COSTO 1" sheetId="11" state="hidden" r:id="rId3"/>
    <sheet name="COSTOS SUBLIMACION" sheetId="16" state="hidden" r:id="rId4"/>
    <sheet name="PLANTILLA COSTO 2" sheetId="14" state="hidden" r:id="rId5"/>
    <sheet name="PLANTILLA COSTO 3" sheetId="13" state="hidden" r:id="rId6"/>
    <sheet name="PLANTILLA COSTO 4" sheetId="12" state="hidden" r:id="rId7"/>
    <sheet name="COSTOS " sheetId="10" state="hidden" r:id="rId8"/>
  </sheets>
  <definedNames>
    <definedName name="_xlnm._FilterDatabase" localSheetId="1" hidden="1">DATOS!$A$1:$Y$1571</definedName>
    <definedName name="_xlnm.Print_Area" localSheetId="0">FICHA!$A$1:$K$135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C26" i="12"/>
  <c r="C24" i="12"/>
  <c r="C26" i="13"/>
  <c r="C24" i="13"/>
  <c r="C26" i="14"/>
  <c r="C24" i="14"/>
  <c r="C26" i="11"/>
  <c r="C24" i="11"/>
  <c r="K33" i="16"/>
  <c r="H33" i="16"/>
  <c r="K38" i="16"/>
  <c r="H38" i="16"/>
  <c r="E38" i="16"/>
  <c r="B38" i="16"/>
  <c r="E33" i="16"/>
  <c r="B33" i="16"/>
  <c r="K41" i="16" l="1"/>
  <c r="H41" i="16"/>
  <c r="E41" i="16"/>
  <c r="B41" i="16"/>
  <c r="H11" i="16"/>
  <c r="E21" i="16"/>
  <c r="E11" i="16"/>
  <c r="K37" i="16"/>
  <c r="K39" i="16" s="1"/>
  <c r="K21" i="16"/>
  <c r="H37" i="16"/>
  <c r="H39" i="16" s="1"/>
  <c r="H21" i="16"/>
  <c r="E37" i="16"/>
  <c r="E39" i="16" s="1"/>
  <c r="B37" i="16"/>
  <c r="B39" i="16" s="1"/>
  <c r="B21" i="16"/>
  <c r="B11" i="16"/>
  <c r="H13" i="16" l="1"/>
  <c r="H14" i="16"/>
  <c r="H24" i="16"/>
  <c r="H23" i="16"/>
  <c r="E23" i="16"/>
  <c r="E14" i="16"/>
  <c r="E13" i="16"/>
  <c r="E24" i="16"/>
  <c r="B14" i="16"/>
  <c r="B15" i="16" s="1"/>
  <c r="B16" i="16" s="1"/>
  <c r="B17" i="16" s="1"/>
  <c r="B13" i="16"/>
  <c r="B23" i="16"/>
  <c r="B24" i="16"/>
  <c r="B25" i="16" s="1"/>
  <c r="B26" i="16" s="1"/>
  <c r="B12" i="16"/>
  <c r="B22" i="16"/>
  <c r="B30" i="16"/>
  <c r="E22" i="16"/>
  <c r="E30" i="16"/>
  <c r="E12" i="16"/>
  <c r="A129" i="1"/>
  <c r="A128" i="1"/>
  <c r="A127" i="1"/>
  <c r="A95" i="1"/>
  <c r="A94" i="1"/>
  <c r="A93" i="1"/>
  <c r="A61" i="1"/>
  <c r="A60" i="1"/>
  <c r="A59" i="1"/>
  <c r="B18" i="16" l="1"/>
  <c r="B27" i="16"/>
  <c r="B28" i="16" s="1"/>
  <c r="E25" i="16"/>
  <c r="E26" i="16" s="1"/>
  <c r="E27" i="16" s="1"/>
  <c r="E28" i="16" s="1"/>
  <c r="E15" i="16"/>
  <c r="D37" i="12"/>
  <c r="I36" i="1"/>
  <c r="D33" i="12"/>
  <c r="L50" i="1"/>
  <c r="B42" i="16" l="1"/>
  <c r="E16" i="16"/>
  <c r="E17" i="16" s="1"/>
  <c r="E18" i="16" s="1"/>
  <c r="E42" i="16" s="1"/>
  <c r="M36" i="1"/>
  <c r="L17" i="1"/>
  <c r="L16" i="1"/>
  <c r="M120" i="1"/>
  <c r="M86" i="1"/>
  <c r="M52" i="1"/>
  <c r="M19" i="1"/>
  <c r="C8" i="12"/>
  <c r="C8" i="13"/>
  <c r="C8" i="14"/>
  <c r="C8" i="11"/>
  <c r="M117" i="1"/>
  <c r="M83" i="1"/>
  <c r="M78" i="1"/>
  <c r="M49" i="1"/>
  <c r="M44" i="1"/>
  <c r="D30" i="1"/>
  <c r="M11" i="1"/>
  <c r="M16" i="1"/>
  <c r="I107" i="1"/>
  <c r="I73" i="1"/>
  <c r="I39" i="1"/>
  <c r="M112" i="1"/>
  <c r="L15" i="1"/>
  <c r="M22" i="1" s="1"/>
  <c r="C9" i="12" l="1"/>
  <c r="C9" i="13"/>
  <c r="C9" i="14"/>
  <c r="L18" i="1"/>
  <c r="C9" i="11"/>
  <c r="H54" i="12"/>
  <c r="H54" i="13"/>
  <c r="C11" i="11"/>
  <c r="C10" i="11"/>
  <c r="C12" i="12"/>
  <c r="D38" i="13"/>
  <c r="D37" i="13"/>
  <c r="D35" i="13"/>
  <c r="D34" i="13"/>
  <c r="D33" i="13"/>
  <c r="D31" i="13"/>
  <c r="D30" i="13"/>
  <c r="C12" i="13"/>
  <c r="C12" i="14"/>
  <c r="D38" i="14"/>
  <c r="D37" i="14"/>
  <c r="D35" i="14"/>
  <c r="D34" i="14"/>
  <c r="D33" i="14"/>
  <c r="D31" i="14"/>
  <c r="D30" i="14"/>
  <c r="H54" i="14"/>
  <c r="C12" i="11"/>
  <c r="D38" i="11"/>
  <c r="D37" i="11"/>
  <c r="D35" i="11"/>
  <c r="D34" i="11"/>
  <c r="D31" i="11"/>
  <c r="D30" i="11"/>
  <c r="D33" i="11"/>
  <c r="C64" i="11" l="1"/>
  <c r="C67" i="11"/>
  <c r="C66" i="11"/>
  <c r="C65" i="11"/>
  <c r="H54" i="11"/>
  <c r="H53" i="11"/>
  <c r="E22" i="12"/>
  <c r="L13" i="12"/>
  <c r="L12" i="12"/>
  <c r="L11" i="12"/>
  <c r="L10" i="12"/>
  <c r="L13" i="13"/>
  <c r="L12" i="13"/>
  <c r="L11" i="13"/>
  <c r="L10" i="13"/>
  <c r="L13" i="14"/>
  <c r="L12" i="14"/>
  <c r="L11" i="14"/>
  <c r="L10" i="14"/>
  <c r="C20" i="13"/>
  <c r="C21" i="13"/>
  <c r="C22" i="13"/>
  <c r="C19" i="13"/>
  <c r="E33" i="1"/>
  <c r="L115" i="1"/>
  <c r="L81" i="1"/>
  <c r="L47" i="1"/>
  <c r="L14" i="1"/>
  <c r="A27" i="1" l="1"/>
  <c r="E18" i="11" s="1"/>
  <c r="F18" i="11" s="1"/>
  <c r="A26" i="1"/>
  <c r="A25" i="1"/>
  <c r="L49" i="1"/>
  <c r="L9" i="14"/>
  <c r="C7" i="12" l="1"/>
  <c r="C2" i="11" l="1"/>
  <c r="E2" i="11"/>
  <c r="G2" i="11"/>
  <c r="L114" i="1"/>
  <c r="L80" i="1"/>
  <c r="L46" i="1"/>
  <c r="E20" i="12"/>
  <c r="E21" i="12"/>
  <c r="E19" i="12"/>
  <c r="L7" i="14" l="1"/>
  <c r="C11" i="12"/>
  <c r="C10" i="12"/>
  <c r="C4" i="12"/>
  <c r="C3" i="12"/>
  <c r="C7" i="13"/>
  <c r="C48" i="13"/>
  <c r="C49" i="13"/>
  <c r="C47" i="13"/>
  <c r="C50" i="13"/>
  <c r="C11" i="13"/>
  <c r="C10" i="13"/>
  <c r="E20" i="13"/>
  <c r="B48" i="13" s="1"/>
  <c r="E21" i="13"/>
  <c r="B49" i="13" s="1"/>
  <c r="E22" i="13"/>
  <c r="B50" i="13" s="1"/>
  <c r="E19" i="13"/>
  <c r="F19" i="13" s="1"/>
  <c r="F47" i="13" s="1"/>
  <c r="C4" i="13"/>
  <c r="C3" i="13"/>
  <c r="E20" i="14"/>
  <c r="F20" i="14" s="1"/>
  <c r="F48" i="14" s="1"/>
  <c r="E21" i="14"/>
  <c r="B49" i="14" s="1"/>
  <c r="E22" i="14"/>
  <c r="B50" i="14" s="1"/>
  <c r="E19" i="14"/>
  <c r="F19" i="14" s="1"/>
  <c r="F47" i="14" s="1"/>
  <c r="C20" i="14"/>
  <c r="C48" i="14" s="1"/>
  <c r="C21" i="14"/>
  <c r="C49" i="14" s="1"/>
  <c r="C22" i="14"/>
  <c r="C19" i="14"/>
  <c r="C47" i="14" s="1"/>
  <c r="C21" i="11"/>
  <c r="C22" i="11"/>
  <c r="C20" i="11"/>
  <c r="C19" i="11"/>
  <c r="C11" i="14"/>
  <c r="C10" i="14"/>
  <c r="C7" i="14"/>
  <c r="C3" i="11"/>
  <c r="C3" i="14"/>
  <c r="C4" i="14"/>
  <c r="B53" i="14"/>
  <c r="C46" i="14"/>
  <c r="C45" i="14"/>
  <c r="C44" i="14"/>
  <c r="B43" i="14"/>
  <c r="H53" i="14"/>
  <c r="C50" i="14"/>
  <c r="D22" i="14"/>
  <c r="D50" i="14" s="1"/>
  <c r="B53" i="13"/>
  <c r="C46" i="13"/>
  <c r="C45" i="13"/>
  <c r="C44" i="13"/>
  <c r="B43" i="13"/>
  <c r="H53" i="13"/>
  <c r="D22" i="13"/>
  <c r="D50" i="13" s="1"/>
  <c r="B53" i="12"/>
  <c r="B47" i="12"/>
  <c r="C46" i="12"/>
  <c r="C45" i="12"/>
  <c r="C44" i="12"/>
  <c r="B43" i="12"/>
  <c r="H53" i="12"/>
  <c r="B50" i="12"/>
  <c r="C22" i="12"/>
  <c r="C50" i="12" s="1"/>
  <c r="B49" i="12"/>
  <c r="C21" i="12"/>
  <c r="C49" i="12" s="1"/>
  <c r="F20" i="12"/>
  <c r="F48" i="12" s="1"/>
  <c r="C20" i="12"/>
  <c r="C48" i="12" s="1"/>
  <c r="F19" i="12"/>
  <c r="F47" i="12" s="1"/>
  <c r="C19" i="12"/>
  <c r="C47" i="12" s="1"/>
  <c r="D22" i="12"/>
  <c r="D50" i="12" s="1"/>
  <c r="D38" i="1"/>
  <c r="D72" i="1" s="1"/>
  <c r="D106" i="1" s="1"/>
  <c r="G38" i="1"/>
  <c r="G72" i="1" s="1"/>
  <c r="G106" i="1" s="1"/>
  <c r="B38" i="1"/>
  <c r="B72" i="1" s="1"/>
  <c r="B106" i="1" s="1"/>
  <c r="L48" i="1"/>
  <c r="M57" i="1" s="1"/>
  <c r="G36" i="1"/>
  <c r="G70" i="1" s="1"/>
  <c r="G104" i="1" s="1"/>
  <c r="E36" i="1"/>
  <c r="B36" i="1"/>
  <c r="G135" i="1"/>
  <c r="F135" i="1"/>
  <c r="E135" i="1"/>
  <c r="D135" i="1"/>
  <c r="G134" i="1"/>
  <c r="F134" i="1"/>
  <c r="E134" i="1"/>
  <c r="D134" i="1"/>
  <c r="G133" i="1"/>
  <c r="F133" i="1"/>
  <c r="E133" i="1"/>
  <c r="D133" i="1"/>
  <c r="G132" i="1"/>
  <c r="F132" i="1"/>
  <c r="E132" i="1"/>
  <c r="D132" i="1"/>
  <c r="G101" i="1"/>
  <c r="F101" i="1"/>
  <c r="E101" i="1"/>
  <c r="D101" i="1"/>
  <c r="G100" i="1"/>
  <c r="F100" i="1"/>
  <c r="E100" i="1"/>
  <c r="D100" i="1"/>
  <c r="G99" i="1"/>
  <c r="F99" i="1"/>
  <c r="E99" i="1"/>
  <c r="D99" i="1"/>
  <c r="G98" i="1"/>
  <c r="F98" i="1"/>
  <c r="E98" i="1"/>
  <c r="D98" i="1"/>
  <c r="G67" i="1"/>
  <c r="F67" i="1"/>
  <c r="E67" i="1"/>
  <c r="D67" i="1"/>
  <c r="G66" i="1"/>
  <c r="F66" i="1"/>
  <c r="E66" i="1"/>
  <c r="D66" i="1"/>
  <c r="G65" i="1"/>
  <c r="F65" i="1"/>
  <c r="E65" i="1"/>
  <c r="D65" i="1"/>
  <c r="G64" i="1"/>
  <c r="F64" i="1"/>
  <c r="E64" i="1"/>
  <c r="D64" i="1"/>
  <c r="C7" i="11"/>
  <c r="C67" i="12" l="1"/>
  <c r="C66" i="12"/>
  <c r="C65" i="12"/>
  <c r="C64" i="12"/>
  <c r="C64" i="13"/>
  <c r="C65" i="13"/>
  <c r="C67" i="13"/>
  <c r="C66" i="13"/>
  <c r="C64" i="14"/>
  <c r="C67" i="14"/>
  <c r="C66" i="14"/>
  <c r="C65" i="14"/>
  <c r="L6" i="12"/>
  <c r="E75" i="1"/>
  <c r="C6" i="13" s="1"/>
  <c r="D21" i="12"/>
  <c r="D49" i="12" s="1"/>
  <c r="D21" i="14"/>
  <c r="D49" i="14" s="1"/>
  <c r="D20" i="12"/>
  <c r="D48" i="12" s="1"/>
  <c r="F21" i="13"/>
  <c r="F49" i="13" s="1"/>
  <c r="B70" i="1"/>
  <c r="C2" i="14"/>
  <c r="G45" i="12"/>
  <c r="I70" i="1"/>
  <c r="L82" i="1" s="1"/>
  <c r="G2" i="14"/>
  <c r="E70" i="1"/>
  <c r="E2" i="14"/>
  <c r="E47" i="13"/>
  <c r="L6" i="13"/>
  <c r="D20" i="13" s="1"/>
  <c r="D48" i="13" s="1"/>
  <c r="E109" i="1"/>
  <c r="G46" i="12"/>
  <c r="E41" i="1"/>
  <c r="B47" i="14"/>
  <c r="L6" i="14"/>
  <c r="D20" i="14"/>
  <c r="D48" i="14" s="1"/>
  <c r="E49" i="14"/>
  <c r="F22" i="14"/>
  <c r="F50" i="14" s="1"/>
  <c r="E48" i="14"/>
  <c r="E50" i="14"/>
  <c r="E47" i="14"/>
  <c r="B48" i="14"/>
  <c r="F21" i="14"/>
  <c r="F49" i="14" s="1"/>
  <c r="F20" i="13"/>
  <c r="F48" i="13" s="1"/>
  <c r="F22" i="13"/>
  <c r="F50" i="13" s="1"/>
  <c r="B47" i="13"/>
  <c r="E50" i="13"/>
  <c r="E49" i="13"/>
  <c r="E48" i="13"/>
  <c r="E49" i="12"/>
  <c r="E48" i="12"/>
  <c r="G50" i="12"/>
  <c r="E47" i="12"/>
  <c r="G49" i="12"/>
  <c r="F21" i="12"/>
  <c r="F49" i="12" s="1"/>
  <c r="G48" i="12"/>
  <c r="F22" i="12"/>
  <c r="F50" i="12" s="1"/>
  <c r="E50" i="12"/>
  <c r="G47" i="12"/>
  <c r="B48" i="12"/>
  <c r="F31" i="1"/>
  <c r="F32" i="1"/>
  <c r="F33" i="1"/>
  <c r="L13" i="11"/>
  <c r="E31" i="1"/>
  <c r="E32" i="1"/>
  <c r="E30" i="1"/>
  <c r="G31" i="1"/>
  <c r="G32" i="1"/>
  <c r="L7" i="13" l="1"/>
  <c r="M91" i="1"/>
  <c r="M9" i="11"/>
  <c r="N9" i="11"/>
  <c r="D21" i="13"/>
  <c r="D49" i="13" s="1"/>
  <c r="B60" i="1"/>
  <c r="C60" i="1" s="1"/>
  <c r="E60" i="1" s="1"/>
  <c r="L8" i="14"/>
  <c r="D19" i="12"/>
  <c r="D47" i="12" s="1"/>
  <c r="H47" i="12" s="1"/>
  <c r="H48" i="12"/>
  <c r="B104" i="1"/>
  <c r="C2" i="12" s="1"/>
  <c r="C2" i="13"/>
  <c r="G48" i="13"/>
  <c r="H48" i="13" s="1"/>
  <c r="G45" i="14"/>
  <c r="I104" i="1"/>
  <c r="G2" i="13"/>
  <c r="E104" i="1"/>
  <c r="E2" i="12" s="1"/>
  <c r="E2" i="13"/>
  <c r="K11" i="16"/>
  <c r="E17" i="14"/>
  <c r="G45" i="13"/>
  <c r="G46" i="14"/>
  <c r="G51" i="12"/>
  <c r="G47" i="13"/>
  <c r="G49" i="13"/>
  <c r="G50" i="13"/>
  <c r="H50" i="13" s="1"/>
  <c r="G46" i="13"/>
  <c r="G50" i="14"/>
  <c r="H50" i="14" s="1"/>
  <c r="G47" i="14"/>
  <c r="G48" i="14"/>
  <c r="H48" i="14" s="1"/>
  <c r="B61" i="1"/>
  <c r="C61" i="1" s="1"/>
  <c r="D61" i="1" s="1"/>
  <c r="E18" i="14"/>
  <c r="F18" i="14" s="1"/>
  <c r="G49" i="14"/>
  <c r="H49" i="14" s="1"/>
  <c r="B59" i="1"/>
  <c r="E16" i="14"/>
  <c r="F16" i="14" s="1"/>
  <c r="C6" i="12"/>
  <c r="C6" i="14"/>
  <c r="D19" i="14"/>
  <c r="D47" i="14" s="1"/>
  <c r="H49" i="12"/>
  <c r="H50" i="12"/>
  <c r="L12" i="11"/>
  <c r="L11" i="11"/>
  <c r="L10" i="11"/>
  <c r="E22" i="11"/>
  <c r="B50" i="11" s="1"/>
  <c r="E21" i="11"/>
  <c r="B49" i="11" s="1"/>
  <c r="E20" i="11"/>
  <c r="B48" i="11" s="1"/>
  <c r="E19" i="11"/>
  <c r="G33" i="1"/>
  <c r="L13" i="1"/>
  <c r="C4" i="11"/>
  <c r="K24" i="16" l="1"/>
  <c r="K25" i="16" s="1"/>
  <c r="K26" i="16" s="1"/>
  <c r="K23" i="16"/>
  <c r="K14" i="16"/>
  <c r="K15" i="16" s="1"/>
  <c r="K16" i="16" s="1"/>
  <c r="K13" i="16"/>
  <c r="K30" i="16"/>
  <c r="K22" i="16"/>
  <c r="K12" i="16"/>
  <c r="E17" i="11"/>
  <c r="F17" i="11" s="1"/>
  <c r="E16" i="11"/>
  <c r="F16" i="11" s="1"/>
  <c r="L9" i="12"/>
  <c r="E45" i="14"/>
  <c r="F17" i="14"/>
  <c r="F45" i="14" s="1"/>
  <c r="C59" i="1"/>
  <c r="E59" i="1" s="1"/>
  <c r="H41" i="1"/>
  <c r="C5" i="14" s="1"/>
  <c r="D32" i="14" s="1"/>
  <c r="E39" i="14" s="1"/>
  <c r="L8" i="12"/>
  <c r="B47" i="11"/>
  <c r="F19" i="11"/>
  <c r="G2" i="12"/>
  <c r="L116" i="1"/>
  <c r="M126" i="1" s="1"/>
  <c r="H49" i="13"/>
  <c r="D19" i="13"/>
  <c r="D47" i="13" s="1"/>
  <c r="H47" i="13" s="1"/>
  <c r="E17" i="13"/>
  <c r="L8" i="13"/>
  <c r="B95" i="1"/>
  <c r="C95" i="1" s="1"/>
  <c r="D95" i="1" s="1"/>
  <c r="L9" i="13"/>
  <c r="D60" i="1"/>
  <c r="B94" i="1"/>
  <c r="C94" i="1" s="1"/>
  <c r="H47" i="14"/>
  <c r="G51" i="13"/>
  <c r="E18" i="13"/>
  <c r="B45" i="14"/>
  <c r="B93" i="1"/>
  <c r="E16" i="13"/>
  <c r="F16" i="13" s="1"/>
  <c r="E61" i="1"/>
  <c r="G51" i="14"/>
  <c r="E46" i="14"/>
  <c r="B46" i="14"/>
  <c r="F46" i="14"/>
  <c r="B44" i="14"/>
  <c r="F44" i="14"/>
  <c r="E44" i="14"/>
  <c r="L9" i="11"/>
  <c r="F22" i="11"/>
  <c r="E50" i="11"/>
  <c r="F21" i="11"/>
  <c r="E49" i="11"/>
  <c r="E47" i="11"/>
  <c r="F20" i="11"/>
  <c r="E48" i="11"/>
  <c r="G30" i="1"/>
  <c r="F30" i="1"/>
  <c r="C50" i="11"/>
  <c r="C49" i="11"/>
  <c r="C48" i="11"/>
  <c r="C47" i="11"/>
  <c r="C46" i="11"/>
  <c r="C45" i="11"/>
  <c r="C44" i="11"/>
  <c r="B43" i="11"/>
  <c r="D31" i="1"/>
  <c r="E8" i="1" s="1"/>
  <c r="D32" i="1"/>
  <c r="D33" i="1"/>
  <c r="K27" i="16" l="1"/>
  <c r="K28" i="16" s="1"/>
  <c r="K17" i="16"/>
  <c r="K18" i="16" s="1"/>
  <c r="D59" i="1"/>
  <c r="C93" i="1"/>
  <c r="E93" i="1" s="1"/>
  <c r="H75" i="1"/>
  <c r="C5" i="13" s="1"/>
  <c r="D32" i="13" s="1"/>
  <c r="E39" i="13" s="1"/>
  <c r="F18" i="13"/>
  <c r="F46" i="13" s="1"/>
  <c r="E45" i="13"/>
  <c r="F17" i="13"/>
  <c r="F45" i="13" s="1"/>
  <c r="L7" i="12"/>
  <c r="E95" i="1"/>
  <c r="B45" i="13"/>
  <c r="B46" i="13"/>
  <c r="E46" i="13"/>
  <c r="B129" i="1"/>
  <c r="C129" i="1" s="1"/>
  <c r="E18" i="12"/>
  <c r="F18" i="12" s="1"/>
  <c r="E17" i="12"/>
  <c r="F17" i="12" s="1"/>
  <c r="B128" i="1"/>
  <c r="C128" i="1" s="1"/>
  <c r="B44" i="13"/>
  <c r="F44" i="13"/>
  <c r="E44" i="13"/>
  <c r="D94" i="1"/>
  <c r="E94" i="1"/>
  <c r="E36" i="14"/>
  <c r="E40" i="14" s="1"/>
  <c r="H29" i="14" s="1"/>
  <c r="C6" i="11"/>
  <c r="B46" i="11"/>
  <c r="B45" i="11"/>
  <c r="L8" i="11"/>
  <c r="B44" i="11"/>
  <c r="L7" i="11"/>
  <c r="K42" i="16" l="1"/>
  <c r="M104" i="1"/>
  <c r="D93" i="1"/>
  <c r="E16" i="12"/>
  <c r="B127" i="1"/>
  <c r="E36" i="13"/>
  <c r="E40" i="13" s="1"/>
  <c r="H29" i="13" s="1"/>
  <c r="D128" i="1"/>
  <c r="E128" i="1"/>
  <c r="E45" i="12"/>
  <c r="F45" i="12"/>
  <c r="B45" i="12"/>
  <c r="B46" i="12"/>
  <c r="F46" i="12"/>
  <c r="E46" i="12"/>
  <c r="D129" i="1"/>
  <c r="E129" i="1"/>
  <c r="D18" i="12"/>
  <c r="D46" i="12" s="1"/>
  <c r="D16" i="12"/>
  <c r="D44" i="12" s="1"/>
  <c r="D17" i="12"/>
  <c r="D45" i="12" s="1"/>
  <c r="D18" i="13"/>
  <c r="D46" i="13" s="1"/>
  <c r="H46" i="13" s="1"/>
  <c r="D16" i="13"/>
  <c r="D44" i="13" s="1"/>
  <c r="H44" i="13" s="1"/>
  <c r="D17" i="13"/>
  <c r="D45" i="13" s="1"/>
  <c r="H45" i="13" s="1"/>
  <c r="D16" i="14"/>
  <c r="D44" i="14" s="1"/>
  <c r="H44" i="14" s="1"/>
  <c r="D17" i="14"/>
  <c r="D45" i="14" s="1"/>
  <c r="H45" i="14" s="1"/>
  <c r="D18" i="14"/>
  <c r="D46" i="14" s="1"/>
  <c r="H46" i="14" s="1"/>
  <c r="D16" i="11"/>
  <c r="D17" i="11"/>
  <c r="D18" i="11"/>
  <c r="E45" i="11"/>
  <c r="E46" i="11"/>
  <c r="E44" i="11"/>
  <c r="F50" i="11"/>
  <c r="F49" i="11"/>
  <c r="F47" i="11"/>
  <c r="F48" i="11"/>
  <c r="H109" i="1" l="1"/>
  <c r="C5" i="12" s="1"/>
  <c r="D32" i="12" s="1"/>
  <c r="E44" i="12"/>
  <c r="F16" i="12"/>
  <c r="F44" i="12" s="1"/>
  <c r="H44" i="12" s="1"/>
  <c r="C127" i="1"/>
  <c r="E127" i="1" s="1"/>
  <c r="B44" i="12"/>
  <c r="H42" i="13"/>
  <c r="H57" i="13" s="1"/>
  <c r="H42" i="14"/>
  <c r="H57" i="14" s="1"/>
  <c r="H45" i="12"/>
  <c r="H46" i="12"/>
  <c r="L6" i="11"/>
  <c r="D22" i="11" s="1"/>
  <c r="E39" i="12" l="1"/>
  <c r="E36" i="12"/>
  <c r="D127" i="1"/>
  <c r="H42" i="12"/>
  <c r="H55" i="13"/>
  <c r="C68" i="13"/>
  <c r="C69" i="13" s="1"/>
  <c r="H55" i="14"/>
  <c r="C68" i="14"/>
  <c r="C69" i="14" s="1"/>
  <c r="D21" i="11"/>
  <c r="D20" i="11"/>
  <c r="E40" i="12" l="1"/>
  <c r="H29" i="12" s="1"/>
  <c r="H55" i="12"/>
  <c r="D19" i="11"/>
  <c r="G46" i="11"/>
  <c r="G47" i="11"/>
  <c r="G48" i="11"/>
  <c r="G45" i="11"/>
  <c r="G49" i="11"/>
  <c r="G50" i="11"/>
  <c r="F44" i="11"/>
  <c r="D45" i="11"/>
  <c r="F45" i="11"/>
  <c r="H57" i="12" l="1"/>
  <c r="C68" i="12" s="1"/>
  <c r="C69" i="12" s="1"/>
  <c r="D68" i="14"/>
  <c r="D65" i="13"/>
  <c r="D64" i="13"/>
  <c r="D66" i="13"/>
  <c r="D67" i="13"/>
  <c r="D64" i="14"/>
  <c r="D67" i="14"/>
  <c r="D65" i="14"/>
  <c r="D66" i="14"/>
  <c r="D68" i="13"/>
  <c r="G51" i="11"/>
  <c r="H45" i="11"/>
  <c r="D44" i="11"/>
  <c r="H44" i="11" s="1"/>
  <c r="D68" i="12" l="1"/>
  <c r="D67" i="12"/>
  <c r="D64" i="12"/>
  <c r="D65" i="12"/>
  <c r="D66" i="12"/>
  <c r="D69" i="14"/>
  <c r="D69" i="13"/>
  <c r="D50" i="11"/>
  <c r="H50" i="11" s="1"/>
  <c r="D48" i="11"/>
  <c r="H48" i="11" s="1"/>
  <c r="D49" i="11"/>
  <c r="H49" i="11" s="1"/>
  <c r="D69" i="12" l="1"/>
  <c r="F46" i="11"/>
  <c r="B27" i="1"/>
  <c r="C27" i="1" s="1"/>
  <c r="B25" i="1"/>
  <c r="B26" i="1"/>
  <c r="C26" i="1" s="1"/>
  <c r="H8" i="1" l="1"/>
  <c r="D32" i="11" s="1"/>
  <c r="C25" i="1"/>
  <c r="E25" i="1" s="1"/>
  <c r="E26" i="1"/>
  <c r="D26" i="1"/>
  <c r="D27" i="1"/>
  <c r="E27" i="1"/>
  <c r="D46" i="11"/>
  <c r="H46" i="11" s="1"/>
  <c r="D25" i="1" l="1"/>
  <c r="D47" i="11"/>
  <c r="H47" i="11" l="1"/>
  <c r="H42" i="11" s="1"/>
  <c r="H55" i="11" s="1"/>
  <c r="E36" i="11"/>
  <c r="E39" i="11"/>
  <c r="E40" i="11" l="1"/>
  <c r="H29" i="11" s="1"/>
  <c r="H57" i="11" s="1"/>
  <c r="C68" i="11" l="1"/>
  <c r="C69" i="11" s="1"/>
  <c r="D66" i="11" l="1"/>
  <c r="D68" i="11"/>
  <c r="D67" i="11"/>
  <c r="D64" i="11"/>
  <c r="D65" i="11"/>
  <c r="D69" i="11" l="1"/>
  <c r="H12" i="16" l="1"/>
  <c r="H25" i="16"/>
  <c r="H22" i="16"/>
  <c r="H15" i="16"/>
  <c r="H16" i="16" s="1"/>
  <c r="H17" i="16" s="1"/>
  <c r="H30" i="16"/>
  <c r="H26" i="16" l="1"/>
  <c r="H27" i="16" s="1"/>
  <c r="H28" i="16" s="1"/>
  <c r="H18" i="16"/>
  <c r="H42" i="16" l="1"/>
  <c r="M70" i="1"/>
  <c r="O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42DED664-3F5B-44EF-8390-9012722A7DD4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2E1AA81E-107B-4CE5-BE5B-5FAC4F23F4A2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767FA9C3-039B-4616-B3DB-BF87DAAB2F10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710B2A4A-0A21-4A3B-A6A5-08B387C246A1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C30C08D8-08FF-4238-9AAE-72D1B17FBA8A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EBFD2DD4-337D-4571-96F0-EEF9B9588BFF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E4727D3F-9C6D-4D58-B75E-DB93FDE83C03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711E9C84-B6BD-42F6-8735-70813F957130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5C33521B-D34C-428D-8A99-9FC7C9CD9E0A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D4D63090-9999-4546-912D-1B013594837D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533F9EBF-1ED8-4196-BC3A-C3A9C63AFEF7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9959AC49-34DA-442C-BDC8-3DF8B0B00A05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5" authorId="0" shapeId="0" xr:uid="{71B2F751-659F-49D2-B281-3F40EB423AAB}">
      <text>
        <r>
          <rPr>
            <b/>
            <sz val="10"/>
            <color rgb="FF000000"/>
            <rFont val="Arial"/>
            <family val="2"/>
          </rPr>
          <t>Costo definitivo por kilogramo de la tinta preparada</t>
        </r>
      </text>
    </comment>
    <comment ref="C23" authorId="0" shapeId="0" xr:uid="{2EAE125C-DF1A-49E8-8EF2-2F8BCC334309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  <comment ref="C52" authorId="0" shapeId="0" xr:uid="{87117CD4-A18D-40CE-8415-D7B201CA797B}">
      <text>
        <r>
          <rPr>
            <b/>
            <sz val="10"/>
            <color rgb="FF000000"/>
            <rFont val="Arial"/>
            <family val="2"/>
          </rPr>
          <t>Las siguientes filas se aplican a productos diferentes a tintas</t>
        </r>
      </text>
    </comment>
    <comment ref="F52" authorId="0" shapeId="0" xr:uid="{64AF5B9D-310D-4A22-B01B-454FCD7F8275}">
      <text>
        <r>
          <rPr>
            <b/>
            <sz val="10"/>
            <color rgb="FF000000"/>
            <rFont val="Arial"/>
            <family val="2"/>
          </rPr>
          <t>Precio de 1 cm2 de Foil, Flock u otro producto que aplique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tc={9AB1FCF7-B96E-4E28-85EC-1C11F76C9C96}</author>
    <author>tc={63B083FB-F423-484E-B6CB-F89F5AA3CCAE}</author>
    <author>tc={F23D582B-2FC9-4CD8-9CAC-45C7B698B1CD}</author>
    <author>tc={57BBFFC6-F9BE-4E03-8089-48673D662D30}</author>
    <author>tc={07524604-D621-4C7D-A701-FAD1CA61720F}</author>
  </authors>
  <commentList>
    <comment ref="F4" authorId="0" shapeId="0" xr:uid="{9AB1FCF7-B96E-4E28-85EC-1C11F76C9C9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bajó la mano de obra de 450 a 420 igualando el isotipo</t>
      </text>
    </comment>
    <comment ref="O4" authorId="1" shapeId="0" xr:uid="{63B083FB-F423-484E-B6CB-F89F5AA3CCAE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aumentó en la MO 150 de la base de los claros para emparejar el costo antiguo vs actual </t>
      </text>
    </comment>
    <comment ref="F5" authorId="2" shapeId="0" xr:uid="{F23D582B-2FC9-4CD8-9CAC-45C7B698B1C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disminuye los CIF de 330 a 198</t>
      </text>
    </comment>
    <comment ref="B36" authorId="3" shapeId="0" xr:uid="{57BBFFC6-F9BE-4E03-8089-48673D662D3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costo del Foil solo incluye la MO, no el del insumo</t>
      </text>
    </comment>
    <comment ref="B37" authorId="4" shapeId="0" xr:uid="{07524604-D621-4C7D-A701-FAD1CA61720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costo tiene asociado la MO y el Insumo</t>
      </text>
    </comment>
  </commentList>
</comments>
</file>

<file path=xl/sharedStrings.xml><?xml version="1.0" encoding="utf-8"?>
<sst xmlns="http://schemas.openxmlformats.org/spreadsheetml/2006/main" count="2576" uniqueCount="986">
  <si>
    <t>Pagina 1 de 1</t>
  </si>
  <si>
    <t>FICHA DESARROLLO ESTAMPACION</t>
  </si>
  <si>
    <t>REFERENCIA</t>
  </si>
  <si>
    <t>CAMPAÑA</t>
  </si>
  <si>
    <t>AÑO</t>
  </si>
  <si>
    <t>LINEA</t>
  </si>
  <si>
    <t>MARCA</t>
  </si>
  <si>
    <t>C 1-4</t>
  </si>
  <si>
    <t>C 2-5</t>
  </si>
  <si>
    <t>C 3-6</t>
  </si>
  <si>
    <t>C 4-7</t>
  </si>
  <si>
    <t>C 5-8</t>
  </si>
  <si>
    <t>C 6-9</t>
  </si>
  <si>
    <t>C 7-10</t>
  </si>
  <si>
    <t>C 8-11</t>
  </si>
  <si>
    <t>C 9-12</t>
  </si>
  <si>
    <t>C 10-13</t>
  </si>
  <si>
    <t>C 11-14</t>
  </si>
  <si>
    <t>C 12-15</t>
  </si>
  <si>
    <t>C 13-16</t>
  </si>
  <si>
    <t>C 14-17</t>
  </si>
  <si>
    <t>C 15-18</t>
  </si>
  <si>
    <t>C 16-1</t>
  </si>
  <si>
    <t>C 17-2</t>
  </si>
  <si>
    <t>C 18-3</t>
  </si>
  <si>
    <t>MATERIAL</t>
  </si>
  <si>
    <t>GALAXI</t>
  </si>
  <si>
    <t>FOIL</t>
  </si>
  <si>
    <t>MAQUINA</t>
  </si>
  <si>
    <t>PANTONE</t>
  </si>
  <si>
    <t>PASADAS</t>
  </si>
  <si>
    <t># ESTAMPADO</t>
  </si>
  <si>
    <t># ESTAMPAD</t>
  </si>
  <si>
    <t>1 DE 1</t>
  </si>
  <si>
    <t>1 DE 2</t>
  </si>
  <si>
    <t>1 DE 3</t>
  </si>
  <si>
    <t>1 DE 4</t>
  </si>
  <si>
    <t>2 DE 4</t>
  </si>
  <si>
    <t>3 DE 4</t>
  </si>
  <si>
    <t>4 DE 4</t>
  </si>
  <si>
    <t>2 DE 3</t>
  </si>
  <si>
    <t>2 DE 2</t>
  </si>
  <si>
    <t>UBIC. ARTE</t>
  </si>
  <si>
    <t># PIEZAS</t>
  </si>
  <si>
    <t>PIEZA</t>
  </si>
  <si>
    <t>TELA</t>
  </si>
  <si>
    <t>TIPO DE BASE</t>
  </si>
  <si>
    <t>ACABADO</t>
  </si>
  <si>
    <t>BASES</t>
  </si>
  <si>
    <t>#COLORES</t>
  </si>
  <si>
    <t>TEMP °C</t>
  </si>
  <si>
    <t>PROCESO</t>
  </si>
  <si>
    <t>ESTAMPACION LOCALIZADA</t>
  </si>
  <si>
    <t>SUBLIMACION LOCALIZADA</t>
  </si>
  <si>
    <t>AZZ MASCULINO</t>
  </si>
  <si>
    <t>AZZ KIDS</t>
  </si>
  <si>
    <t>AZZ INDIGO</t>
  </si>
  <si>
    <t>AZZ RIN</t>
  </si>
  <si>
    <t>LIV INDIGO</t>
  </si>
  <si>
    <t>ATH MAS</t>
  </si>
  <si>
    <t>ATH FEM</t>
  </si>
  <si>
    <t>EXT FEM</t>
  </si>
  <si>
    <t>EXT MAS</t>
  </si>
  <si>
    <t>LIV INT MAS</t>
  </si>
  <si>
    <t>LIV INT FEM</t>
  </si>
  <si>
    <t>KIDS NIÑA</t>
  </si>
  <si>
    <t>KIDS NIÑO</t>
  </si>
  <si>
    <t>LIVVA</t>
  </si>
  <si>
    <t>AZZORTI</t>
  </si>
  <si>
    <t>DIS. GRAF</t>
  </si>
  <si>
    <t>DIS.MOD</t>
  </si>
  <si>
    <t>DELANTERO</t>
  </si>
  <si>
    <t>DELANTERO DERECHO</t>
  </si>
  <si>
    <t>DELANTERO IZQUIERDO</t>
  </si>
  <si>
    <t>POSTERIOR</t>
  </si>
  <si>
    <t>POSTERIOR IZQUIERDO</t>
  </si>
  <si>
    <t>POSTERIOR DERECHO</t>
  </si>
  <si>
    <t>MANGA DERECHA</t>
  </si>
  <si>
    <t>MANGA IZQUIERDA</t>
  </si>
  <si>
    <t>MANGAS</t>
  </si>
  <si>
    <t>PRETINA</t>
  </si>
  <si>
    <t>CAPOTA DERECHA</t>
  </si>
  <si>
    <t>CAPOTA IZQUIERDA</t>
  </si>
  <si>
    <t>BOLSILLO</t>
  </si>
  <si>
    <t>ALMILLA</t>
  </si>
  <si>
    <t>FAJON</t>
  </si>
  <si>
    <t>PIERNA DERECHA</t>
  </si>
  <si>
    <t>PIERNA IZQUIERDA</t>
  </si>
  <si>
    <t>CINTURON</t>
  </si>
  <si>
    <t>CUELLO</t>
  </si>
  <si>
    <t>CLARO</t>
  </si>
  <si>
    <t>OSCURO</t>
  </si>
  <si>
    <t>SUBLIMAD</t>
  </si>
  <si>
    <t>EFEC.GEL</t>
  </si>
  <si>
    <t>HORIZONTAL</t>
  </si>
  <si>
    <t>BLOCKING</t>
  </si>
  <si>
    <t>GREY STOP</t>
  </si>
  <si>
    <t>Descripción</t>
  </si>
  <si>
    <t>TELA PLN INCA TWILL NEGRO 19-4005</t>
  </si>
  <si>
    <t>BASE</t>
  </si>
  <si>
    <t>TPX</t>
  </si>
  <si>
    <t>125507</t>
  </si>
  <si>
    <t>NO APLICA</t>
  </si>
  <si>
    <t>NEGRO</t>
  </si>
  <si>
    <t>BLANCO</t>
  </si>
  <si>
    <t>#MARCOS</t>
  </si>
  <si>
    <t>NA</t>
  </si>
  <si>
    <t>%CUBRIMIENTO</t>
  </si>
  <si>
    <t>T.EXPOSI</t>
  </si>
  <si>
    <t>ALTURA(CM)</t>
  </si>
  <si>
    <t>ANCHO(CM)</t>
  </si>
  <si>
    <t>ALTA DENSIDAD</t>
  </si>
  <si>
    <t xml:space="preserve">SI </t>
  </si>
  <si>
    <t>NO</t>
  </si>
  <si>
    <t>ALTA DENSI</t>
  </si>
  <si>
    <t>COSTO DEL ESTAMPADO</t>
  </si>
  <si>
    <t>SI</t>
  </si>
  <si>
    <t>GREY STOP BLACK</t>
  </si>
  <si>
    <t>T. EXPO</t>
  </si>
  <si>
    <t>VERTICAL</t>
  </si>
  <si>
    <t>PIEZAS</t>
  </si>
  <si>
    <t>OBSERVACIONES</t>
  </si>
  <si>
    <t>TABLA SUMINISTROS</t>
  </si>
  <si>
    <t>TIPO DE MATERIAL</t>
  </si>
  <si>
    <t>PRECIOS $/kg</t>
  </si>
  <si>
    <t>SHIMER</t>
  </si>
  <si>
    <t>TEXTIL</t>
  </si>
  <si>
    <t>PUF</t>
  </si>
  <si>
    <t>N/A</t>
  </si>
  <si>
    <t>Desperdicio tintas</t>
  </si>
  <si>
    <t>CONCEPTO</t>
  </si>
  <si>
    <t>COSTO PIEZA</t>
  </si>
  <si>
    <t>MO</t>
  </si>
  <si>
    <t>DEP</t>
  </si>
  <si>
    <t>MO IND</t>
  </si>
  <si>
    <t>DATOS  DEL ESTAMPADO</t>
  </si>
  <si>
    <t>Diseño</t>
  </si>
  <si>
    <t>Campaña</t>
  </si>
  <si>
    <t>Perfil</t>
  </si>
  <si>
    <t>Altura total del diseño  (cm)</t>
  </si>
  <si>
    <t>Ancho total del diseño (cm)</t>
  </si>
  <si>
    <t>Número de marcos</t>
  </si>
  <si>
    <t>Número de colores</t>
  </si>
  <si>
    <t>Area de cubrimiento %</t>
  </si>
  <si>
    <t>Número de unidades promedio</t>
  </si>
  <si>
    <t>Foil (Si/No)</t>
  </si>
  <si>
    <t>Colores</t>
  </si>
  <si>
    <t>Color</t>
  </si>
  <si>
    <t>Tipo material</t>
  </si>
  <si>
    <t>Costo (Kg)</t>
  </si>
  <si>
    <t>Tipo de base</t>
  </si>
  <si>
    <t>Otros Colores</t>
  </si>
  <si>
    <t>Producto</t>
  </si>
  <si>
    <t>PROCESO DE GRABACIÓN</t>
  </si>
  <si>
    <t>Costo unitario</t>
  </si>
  <si>
    <t>Longitud del marco a usar (cm)</t>
  </si>
  <si>
    <t>Ancho del marco a usar (cm)</t>
  </si>
  <si>
    <t>Número de marcos requeridos</t>
  </si>
  <si>
    <t>Desperdicio estimado de la seda</t>
  </si>
  <si>
    <t>Duración de la seda ( número de estampados útiles)</t>
  </si>
  <si>
    <t>Costo de la Seda para el trabajo actual</t>
  </si>
  <si>
    <t>Costo de EMULSIÓN por Kg</t>
  </si>
  <si>
    <t>Costo de EMULSIÓN</t>
  </si>
  <si>
    <t>Costo total del proceso de grabación</t>
  </si>
  <si>
    <t>COSTO DE TINTAS Y SUMINISTROS DEL ESTAMPADO</t>
  </si>
  <si>
    <t>Costo  (Kg)</t>
  </si>
  <si>
    <t>Costo por unidad</t>
  </si>
  <si>
    <t>Desperdicio Estimado (%)</t>
  </si>
  <si>
    <t>Costo total de tintas y suministros para el trabajo actual</t>
  </si>
  <si>
    <t>COSTO TOTAL  UNITARIO DEL SUMINISTRO DE ESTAMPADO</t>
  </si>
  <si>
    <t>%</t>
  </si>
  <si>
    <t>IND</t>
  </si>
  <si>
    <t>SUMINISTRO</t>
  </si>
  <si>
    <t>TOTAL</t>
  </si>
  <si>
    <t>Mano de obra foil</t>
  </si>
  <si>
    <t>Papel Foil Mano de Obra</t>
  </si>
  <si>
    <t>PLASTISOL</t>
  </si>
  <si>
    <t>APROBACION</t>
  </si>
  <si>
    <t>Alta densidad</t>
  </si>
  <si>
    <t>COLOR</t>
  </si>
  <si>
    <t>DIS.GRAF</t>
  </si>
  <si>
    <t>Fecha emis</t>
  </si>
  <si>
    <t>Alta densidad Mano de Obra</t>
  </si>
  <si>
    <t>Costo MO</t>
  </si>
  <si>
    <t>PASADA</t>
  </si>
  <si>
    <t xml:space="preserve">CIF </t>
  </si>
  <si>
    <t>CIF</t>
  </si>
  <si>
    <t xml:space="preserve">  </t>
  </si>
  <si>
    <r>
      <t>Área (cm</t>
    </r>
    <r>
      <rPr>
        <b/>
        <vertAlign val="superscript"/>
        <sz val="12"/>
        <color theme="0" tint="-4.9989318521683403E-2"/>
        <rFont val="Gilroy"/>
        <family val="3"/>
      </rPr>
      <t>2</t>
    </r>
    <r>
      <rPr>
        <b/>
        <sz val="12"/>
        <color theme="0" tint="-4.9989318521683403E-2"/>
        <rFont val="Gilroy"/>
        <family val="3"/>
      </rPr>
      <t>)</t>
    </r>
  </si>
  <si>
    <r>
      <t>Costo de la seda por cm</t>
    </r>
    <r>
      <rPr>
        <vertAlign val="superscript"/>
        <sz val="12"/>
        <rFont val="Gilroy"/>
        <family val="3"/>
      </rPr>
      <t>2</t>
    </r>
    <r>
      <rPr>
        <sz val="12"/>
        <rFont val="Gilroy"/>
        <family val="3"/>
      </rPr>
      <t xml:space="preserve"> ($/cm</t>
    </r>
    <r>
      <rPr>
        <vertAlign val="superscript"/>
        <sz val="12"/>
        <rFont val="Gilroy"/>
        <family val="3"/>
      </rPr>
      <t>2</t>
    </r>
    <r>
      <rPr>
        <sz val="12"/>
        <rFont val="Gilroy"/>
        <family val="3"/>
      </rPr>
      <t>)</t>
    </r>
  </si>
  <si>
    <r>
      <t xml:space="preserve">Rendimiento de la EMULSIÓN </t>
    </r>
    <r>
      <rPr>
        <i/>
        <sz val="12"/>
        <color rgb="FF000000"/>
        <rFont val="Gilroy"/>
        <family val="3"/>
      </rPr>
      <t>(gr / 100 cm</t>
    </r>
    <r>
      <rPr>
        <i/>
        <vertAlign val="superscript"/>
        <sz val="12"/>
        <color rgb="FF000000"/>
        <rFont val="Gilroy"/>
        <family val="3"/>
      </rPr>
      <t>2</t>
    </r>
    <r>
      <rPr>
        <i/>
        <sz val="12"/>
        <color rgb="FF000000"/>
        <rFont val="Gilroy"/>
        <family val="3"/>
      </rPr>
      <t>)</t>
    </r>
  </si>
  <si>
    <r>
      <t>Área (cm</t>
    </r>
    <r>
      <rPr>
        <b/>
        <vertAlign val="superscript"/>
        <sz val="12"/>
        <color rgb="FF000000"/>
        <rFont val="Gilroy"/>
        <family val="3"/>
      </rPr>
      <t>2</t>
    </r>
    <r>
      <rPr>
        <b/>
        <sz val="12"/>
        <color rgb="FF000000"/>
        <rFont val="Gilroy"/>
        <family val="3"/>
      </rPr>
      <t>)</t>
    </r>
  </si>
  <si>
    <r>
      <t>Consumo gr / 100 cm</t>
    </r>
    <r>
      <rPr>
        <b/>
        <vertAlign val="superscript"/>
        <sz val="10"/>
        <color rgb="FF000000"/>
        <rFont val="Gilroy"/>
        <family val="3"/>
      </rPr>
      <t>2</t>
    </r>
  </si>
  <si>
    <r>
      <t>Costo / cm</t>
    </r>
    <r>
      <rPr>
        <b/>
        <vertAlign val="superscript"/>
        <sz val="12"/>
        <color rgb="FF000000"/>
        <rFont val="Gilroy"/>
        <family val="3"/>
      </rPr>
      <t>2</t>
    </r>
  </si>
  <si>
    <r>
      <t xml:space="preserve">PRODUCTO TRÁFICO </t>
    </r>
    <r>
      <rPr>
        <b/>
        <sz val="16"/>
        <color theme="0" tint="-4.9989318521683403E-2"/>
        <rFont val="Gilroy"/>
        <family val="3"/>
      </rPr>
      <t>NORMAL</t>
    </r>
  </si>
  <si>
    <t>TELA PTO TOMAS PIQUE NEGRO 19-4005</t>
  </si>
  <si>
    <t>TELA PTO LUNA BURDA NEGRO 19-4005</t>
  </si>
  <si>
    <t>TELA PTO LUNA BURDA NEGRO CROSS</t>
  </si>
  <si>
    <t>TELA PTO JUANA PFD</t>
  </si>
  <si>
    <t>TELA PTO JUANA BLANCO 11-0601</t>
  </si>
  <si>
    <t>TELA PLN INCA TWILL IMP BLANCO 11-0601</t>
  </si>
  <si>
    <t>Mariana Toro</t>
  </si>
  <si>
    <t>Bryan Osorio</t>
  </si>
  <si>
    <t>Alison Varelas</t>
  </si>
  <si>
    <t>Carolina Gallon</t>
  </si>
  <si>
    <t>Laura Lujan</t>
  </si>
  <si>
    <t>Daniel Diaz</t>
  </si>
  <si>
    <t>Elizabeth Patiño</t>
  </si>
  <si>
    <t>Jennifer Reyes</t>
  </si>
  <si>
    <t>FOTO DE LUPA</t>
  </si>
  <si>
    <t>MEDIDAS Y UBICACIÓN</t>
  </si>
  <si>
    <t>FR-INGROP-06-V01</t>
  </si>
  <si>
    <t>C 1</t>
  </si>
  <si>
    <t>C 2</t>
  </si>
  <si>
    <t>C 3</t>
  </si>
  <si>
    <t>C 4</t>
  </si>
  <si>
    <t>COSTO TOTAL DEL ESTAMPADO</t>
  </si>
  <si>
    <t>ANCHO PLT</t>
  </si>
  <si>
    <t>ALTURA PLT</t>
  </si>
  <si>
    <t>#PIEZAS</t>
  </si>
  <si>
    <t>BLANCO COTTON</t>
  </si>
  <si>
    <t>COSTOS CLARO</t>
  </si>
  <si>
    <r>
      <t xml:space="preserve"> </t>
    </r>
    <r>
      <rPr>
        <b/>
        <sz val="16"/>
        <color theme="0" tint="-4.9989318521683403E-2"/>
        <rFont val="Gilroy"/>
        <family val="3"/>
      </rPr>
      <t>NORMAL</t>
    </r>
  </si>
  <si>
    <t>TELA PTO CATALINA RIB L25 NUDE 14-1209</t>
  </si>
  <si>
    <t>TELA PTO CATALINA RIB L25 ROJO 18-1660</t>
  </si>
  <si>
    <t>TELA PTO CATALINA RB L25 SANGRIA 19-2047</t>
  </si>
  <si>
    <t>TELA PTO CATALINA RIB L25 CAFE 19-1430</t>
  </si>
  <si>
    <t>TELA PTO CATALINA RB L25 AZUL OS 19-4024</t>
  </si>
  <si>
    <t>TELA PTO CATALINA RIB L25 VERDE 18-0430</t>
  </si>
  <si>
    <t>TELA PTO CATALINA RIB L25 FUCSIA 17-2235</t>
  </si>
  <si>
    <t>TELA PTO JUANA L25 NUDE 14-1209</t>
  </si>
  <si>
    <t>TELA PTO JUANA L25 ROJO 18-1660</t>
  </si>
  <si>
    <t>TELA PTO JUANA L25 AZUL OSCURO 19-4024</t>
  </si>
  <si>
    <t>TELA PTO KIOTO L25 VERDE MILITAR 18-0430</t>
  </si>
  <si>
    <t>TELA PTO KIOTO L25 FUCSIA 17-2235</t>
  </si>
  <si>
    <t>TELA PTO KIOTO L25 NUDE 14-1209</t>
  </si>
  <si>
    <t>TELA PTO KIOTO L25 ROJO 18-1660</t>
  </si>
  <si>
    <t>TELA PTO KIOTO L25 AZUL OSC 19-4024</t>
  </si>
  <si>
    <t>TELA PTO KIOTO L25 SANGRIA 19-2047</t>
  </si>
  <si>
    <t>TELA PTO LUNA BURDA L25 NUDE 14-1209</t>
  </si>
  <si>
    <t>TELA PTO LUNA BURDA L25 ROJO 18-1660</t>
  </si>
  <si>
    <t>TELA PTO LUNA BURDA L25 AZUL OSC 19-4024</t>
  </si>
  <si>
    <t>TELA PTO LUNA BURDA L25 AZUL JASPE</t>
  </si>
  <si>
    <t>TELA PTO BURDA L25 GRIS JASPE</t>
  </si>
  <si>
    <t>TELA PTO LUNA BURDA L25 VERDE JASPE</t>
  </si>
  <si>
    <t>TELA PTO LUNA BURDA L25 VINO CROSS</t>
  </si>
  <si>
    <t>TELA PTO MELOCOTON L25 SANGRIA 19-2047</t>
  </si>
  <si>
    <t>TELA PTO MELOCOTON L25 NUDE 14-1209</t>
  </si>
  <si>
    <t>TELA PTO NAPOLITANA L25 ROJO 18-1660</t>
  </si>
  <si>
    <t>TELA PTO NAPOLITANA L25 SANGRIA 19-2047</t>
  </si>
  <si>
    <t>TELA PTO NAPOLITANA L25 AZUL OSC 19-4024</t>
  </si>
  <si>
    <t>TELA PTO OSAKA L25 ROJO 18-1660</t>
  </si>
  <si>
    <t>TELA PTO OSAKA L25 AZUL OSCURO 19-4024</t>
  </si>
  <si>
    <t>TELA PTO PINA L25 NUDE 14-1209</t>
  </si>
  <si>
    <t>TELA PTO PINA L25 ROJO 18-1660</t>
  </si>
  <si>
    <t>TELA PTO PINA L25 SANGRIA 19-2047</t>
  </si>
  <si>
    <t>TELA PTO PINA L25 AZUL OSC 19-4024</t>
  </si>
  <si>
    <t>TELA PTO TOMAS PIQUE L25 NUDE 14-1209</t>
  </si>
  <si>
    <t>TELA PTO TOMAS PIQUE L25 ROJO 18-1660</t>
  </si>
  <si>
    <t>TELA PTO TOMAS PIQUE L25 AZU OSC 19-4024</t>
  </si>
  <si>
    <t>TELA PLN COMANECI BPT 0W000</t>
  </si>
  <si>
    <t>TELA PLN GAVIOTA PLUS DENIM</t>
  </si>
  <si>
    <t>TELA PLN IGOR AZUL</t>
  </si>
  <si>
    <t>TELA PLN INCA TWILL L25 NUDE 14-1209</t>
  </si>
  <si>
    <t>TELA PLN INCA TWILL IM L25 AZ OS 19-4024</t>
  </si>
  <si>
    <t>CODIGO</t>
  </si>
  <si>
    <t>TIPO</t>
  </si>
  <si>
    <t>CLASIFICACION</t>
  </si>
  <si>
    <t>MEDIO</t>
  </si>
  <si>
    <t>BASE TEXTIL</t>
  </si>
  <si>
    <t xml:space="preserve">COTTON,BLANCO     </t>
  </si>
  <si>
    <t>Fecha ficha</t>
  </si>
  <si>
    <t>ISOTIPO</t>
  </si>
  <si>
    <t>COSTOS LOGOS ISOTIPO</t>
  </si>
  <si>
    <t>Costo MO Foil</t>
  </si>
  <si>
    <t>Costo MO e Insumo Alta</t>
  </si>
  <si>
    <t>TIPO DE LOGO</t>
  </si>
  <si>
    <t>ESTAMPADO</t>
  </si>
  <si>
    <t>TIPO LOGO</t>
  </si>
  <si>
    <t>Papel Foil Insumo</t>
  </si>
  <si>
    <t>Logo</t>
  </si>
  <si>
    <t>COSTOS OSCURO Y MEDIOS</t>
  </si>
  <si>
    <t>Costo de la seda por cm2 ($/cm2)</t>
  </si>
  <si>
    <t>Rendimiento de la EMULSIÓN (gr / 100 cm2)</t>
  </si>
  <si>
    <t>Alta densidad Mano de Obra+Insumo</t>
  </si>
  <si>
    <t>Suavizado KIDS</t>
  </si>
  <si>
    <t>#ESTAMPAD</t>
  </si>
  <si>
    <t>Unidades promedio</t>
  </si>
  <si>
    <t>COSTOS LOGOS ESTAMPADO CLARO</t>
  </si>
  <si>
    <t>COSTOS LOGOS ESTAMPADO MEDIOS Y OSCUROS</t>
  </si>
  <si>
    <t>VINILO LIVVA</t>
  </si>
  <si>
    <t>VINILO LIV</t>
  </si>
  <si>
    <t>-</t>
  </si>
  <si>
    <t>PEGA FOIL</t>
  </si>
  <si>
    <t>TELA PLN HUNGRIA CHALIS PFD</t>
  </si>
  <si>
    <t>TARIFA PAPEL CM</t>
  </si>
  <si>
    <t>ALTO PLT CM</t>
  </si>
  <si>
    <t>ANCHO PLT CM</t>
  </si>
  <si>
    <t>ANCHO PAPEL</t>
  </si>
  <si>
    <t>ALTO/PIEZAS</t>
  </si>
  <si>
    <t>PRECIO PAPEL FASHION</t>
  </si>
  <si>
    <t>PAPEL FASHION</t>
  </si>
  <si>
    <t>PRECIO PAPEL CALANDRA</t>
  </si>
  <si>
    <t>PAPEL CALANDRA</t>
  </si>
  <si>
    <t>COSTO TINTA</t>
  </si>
  <si>
    <t>MANO DE OBRA</t>
  </si>
  <si>
    <t>INDIRECTOS</t>
  </si>
  <si>
    <t>DEPRECIACION</t>
  </si>
  <si>
    <t>SUB TOTAL</t>
  </si>
  <si>
    <t>COSTO UNIDAD</t>
  </si>
  <si>
    <t>UD MENSUALES PROME</t>
  </si>
  <si>
    <t>CIF(SERVICIOS Y ARRIEND)</t>
  </si>
  <si>
    <t>TARIFA PAPEL FASHION</t>
  </si>
  <si>
    <t>TARIFA PAPEL CALANDRA</t>
  </si>
  <si>
    <t>ANCHO DEL PAPEL</t>
  </si>
  <si>
    <t>%VARIACION MANO DE OBRA</t>
  </si>
  <si>
    <t>UNIDADES PROMEDIO MENSUAL</t>
  </si>
  <si>
    <t>COSTO ESTAMPADO CON MO</t>
  </si>
  <si>
    <t>Catalina Restrepo</t>
  </si>
  <si>
    <t>Laura Agudelo</t>
  </si>
  <si>
    <t xml:space="preserve"> </t>
  </si>
  <si>
    <t>Johona muñoz</t>
  </si>
  <si>
    <t>6509819</t>
  </si>
  <si>
    <t>6509820</t>
  </si>
  <si>
    <t>6509821</t>
  </si>
  <si>
    <t>6509822</t>
  </si>
  <si>
    <t>6509823</t>
  </si>
  <si>
    <t>6509824</t>
  </si>
  <si>
    <t>6509825</t>
  </si>
  <si>
    <t>6509826</t>
  </si>
  <si>
    <t>6509827</t>
  </si>
  <si>
    <t>6509933</t>
  </si>
  <si>
    <t>TELA PTO OSAKA L26 AZUL 17-4139</t>
  </si>
  <si>
    <t>6509934</t>
  </si>
  <si>
    <t>TELA PTO OSAKA L26 AZUL CLARO 14-4215</t>
  </si>
  <si>
    <t>6509935</t>
  </si>
  <si>
    <t>TELA PTO OSAKA L26 BEIGE 11-0108</t>
  </si>
  <si>
    <t>6509936</t>
  </si>
  <si>
    <t>TELA PTO OSAKA L26 CORAL 16-1620</t>
  </si>
  <si>
    <t>6509937</t>
  </si>
  <si>
    <t>6509938</t>
  </si>
  <si>
    <t>6509939</t>
  </si>
  <si>
    <t>6509940</t>
  </si>
  <si>
    <t>TELA PTO OSAKA L26 ROSADO 15-1611</t>
  </si>
  <si>
    <t>6509941</t>
  </si>
  <si>
    <t>6509942</t>
  </si>
  <si>
    <t>6509943</t>
  </si>
  <si>
    <t>TELA PTO OSAKA L26 VERDE 18-5913</t>
  </si>
  <si>
    <t>6509944</t>
  </si>
  <si>
    <t>6509945</t>
  </si>
  <si>
    <t>6509841</t>
  </si>
  <si>
    <t>TELA PTO DANNA RIB L26 AZUL 17-4139</t>
  </si>
  <si>
    <t>6509842</t>
  </si>
  <si>
    <t>TELA PTO DANNA RIB L26 AZUL CL 14-4215</t>
  </si>
  <si>
    <t>6509843</t>
  </si>
  <si>
    <t>TELA PTO DANNA RIB L26 BEIGE 11-0108</t>
  </si>
  <si>
    <t>6509844</t>
  </si>
  <si>
    <t>TELA PTO DANNA RIB L26 CORAL 16-1620</t>
  </si>
  <si>
    <t>6509845</t>
  </si>
  <si>
    <t>6509846</t>
  </si>
  <si>
    <t>6509847</t>
  </si>
  <si>
    <t>6509848</t>
  </si>
  <si>
    <t>TELA PTO DANNA RIB L26 ROSADO 15-1611</t>
  </si>
  <si>
    <t>6509849</t>
  </si>
  <si>
    <t>6509850</t>
  </si>
  <si>
    <t>6509851</t>
  </si>
  <si>
    <t>TELA PTO DANNA RIB L26 VERDE 18-5913</t>
  </si>
  <si>
    <t>6509852</t>
  </si>
  <si>
    <t>6509853</t>
  </si>
  <si>
    <t>6510398</t>
  </si>
  <si>
    <t>6510400</t>
  </si>
  <si>
    <t>TELA PTO ANA SPORT L26 CAFE 19-1430</t>
  </si>
  <si>
    <t>6510401</t>
  </si>
  <si>
    <t>6510403</t>
  </si>
  <si>
    <t>6510405</t>
  </si>
  <si>
    <t>6510408</t>
  </si>
  <si>
    <t>6510410</t>
  </si>
  <si>
    <t>6510412</t>
  </si>
  <si>
    <t>6510415</t>
  </si>
  <si>
    <t>6510416</t>
  </si>
  <si>
    <t>TELA PTO ANA SPORT L26 VERDE 18-5913</t>
  </si>
  <si>
    <t>6510395</t>
  </si>
  <si>
    <t>TELA PTO ANA SPORT L26 AZ OSC 19-4024</t>
  </si>
  <si>
    <t>6510396</t>
  </si>
  <si>
    <t>6510407</t>
  </si>
  <si>
    <t>6510409</t>
  </si>
  <si>
    <t>TELA PTO ANA SPORT L26 ROJO 18-1660</t>
  </si>
  <si>
    <t>6510411</t>
  </si>
  <si>
    <t>TELA PTO ANA SPORT L26 SANGRIA 19-2047</t>
  </si>
  <si>
    <t>6510417</t>
  </si>
  <si>
    <t>6509864</t>
  </si>
  <si>
    <t>TELA PTO INCA TWILL L26 AZUL 17-4139</t>
  </si>
  <si>
    <t>6509865</t>
  </si>
  <si>
    <t>TELA PTO INCA TWILL L26 AZUL CL 14-4215</t>
  </si>
  <si>
    <t>6509866</t>
  </si>
  <si>
    <t>TELA PTO INCA TWILL L26 BEIGE 11-0108</t>
  </si>
  <si>
    <t>6509867</t>
  </si>
  <si>
    <t>TELA PTO INCA TWILL L26 CORAL 16-1620</t>
  </si>
  <si>
    <t>6509868</t>
  </si>
  <si>
    <t>6509869</t>
  </si>
  <si>
    <t>6509870</t>
  </si>
  <si>
    <t>6509871</t>
  </si>
  <si>
    <t>TELA PTO INCA TWILL L26 ROSADO 15-1611</t>
  </si>
  <si>
    <t>6509872</t>
  </si>
  <si>
    <t>6509873</t>
  </si>
  <si>
    <t>6509874</t>
  </si>
  <si>
    <t>TELA PTO INCA TWILL L26 VERDE 18-5913</t>
  </si>
  <si>
    <t>6509875</t>
  </si>
  <si>
    <t>6509876</t>
  </si>
  <si>
    <t>6509877</t>
  </si>
  <si>
    <t>TELA PTO JUANA L26 AZUL 17-4139</t>
  </si>
  <si>
    <t>6509878</t>
  </si>
  <si>
    <t>TELA PTO JUANA L26 AZUL CIELO 14-4215</t>
  </si>
  <si>
    <t>6509879</t>
  </si>
  <si>
    <t>TELA PTO JUANA L26 BEIGE 11-0108</t>
  </si>
  <si>
    <t>6509880</t>
  </si>
  <si>
    <t>TELA PTO JUANA L26 CORAL 16-1620</t>
  </si>
  <si>
    <t>6509881</t>
  </si>
  <si>
    <t>6509882</t>
  </si>
  <si>
    <t>6509883</t>
  </si>
  <si>
    <t>6509884</t>
  </si>
  <si>
    <t>TELA PTO JUANA L26 ROSADO 15-1611</t>
  </si>
  <si>
    <t>6509885</t>
  </si>
  <si>
    <t>6509886</t>
  </si>
  <si>
    <t>6509887</t>
  </si>
  <si>
    <t>TELA PTO JUANA L26 VERDE 18-5913</t>
  </si>
  <si>
    <t>6509888</t>
  </si>
  <si>
    <t>6509889</t>
  </si>
  <si>
    <t>6509890</t>
  </si>
  <si>
    <t>TELA PTO KIOTO L26 AZUL 17-4139</t>
  </si>
  <si>
    <t>6509891</t>
  </si>
  <si>
    <t>TELA PTO KIOTO L26 AZUL CLARO 14-4215</t>
  </si>
  <si>
    <t>6509892</t>
  </si>
  <si>
    <t>TELA PTO KIOTO L26 BEIGE 11-0108</t>
  </si>
  <si>
    <t>6509893</t>
  </si>
  <si>
    <t>TELA PTO KIOTO L26 CORAL 16-1620</t>
  </si>
  <si>
    <t>6509894</t>
  </si>
  <si>
    <t>6509895</t>
  </si>
  <si>
    <t>6509896</t>
  </si>
  <si>
    <t>6509897</t>
  </si>
  <si>
    <t>TELA PTO KIOTO L26 ROSADO 15-1611</t>
  </si>
  <si>
    <t>6509898</t>
  </si>
  <si>
    <t>6509899</t>
  </si>
  <si>
    <t>6509900</t>
  </si>
  <si>
    <t>TELA PTO KIOTO L26 VERDE 18-5913</t>
  </si>
  <si>
    <t>6509901</t>
  </si>
  <si>
    <t>6509902</t>
  </si>
  <si>
    <t>6509904</t>
  </si>
  <si>
    <t>6509905</t>
  </si>
  <si>
    <t>TELA PTO LANILLA L26 NUDE JASPE 14-1209</t>
  </si>
  <si>
    <t>6509906</t>
  </si>
  <si>
    <t>TELA PTO LANILLA L26 ROSA JASPE 15-1611</t>
  </si>
  <si>
    <t>6509907</t>
  </si>
  <si>
    <t>TELA PTO LANILLA L26 VERDE JASPE 18-5913</t>
  </si>
  <si>
    <t>6509908</t>
  </si>
  <si>
    <t>TELA PTO LANILLA UNICO L26 AZOSC 19-4024</t>
  </si>
  <si>
    <t>6509909</t>
  </si>
  <si>
    <t>TELA PTO LANILLA UNICO L26 BEIGE 11-0108</t>
  </si>
  <si>
    <t>6509910</t>
  </si>
  <si>
    <t>TELA PTO LANILLA UNICO L26 CAFE 19-1430</t>
  </si>
  <si>
    <t>6509911</t>
  </si>
  <si>
    <t>TELA PTO LANILLA UNICO L26 VERDE 18-5913</t>
  </si>
  <si>
    <t>6509912</t>
  </si>
  <si>
    <t>6509829</t>
  </si>
  <si>
    <t>TELA PTO LUNA BURDA L26 AZUL 17-4139</t>
  </si>
  <si>
    <t>6509830</t>
  </si>
  <si>
    <t>TELA PTO LUNA BURDA L26 AZUL CL 14-4215</t>
  </si>
  <si>
    <t>6509831</t>
  </si>
  <si>
    <t>TELA PTO LUNA BURDA L26 BEIGE 11-0108</t>
  </si>
  <si>
    <t>6509832</t>
  </si>
  <si>
    <t>TELA PTO LUNA BURDA L26 CORAL 16-1620</t>
  </si>
  <si>
    <t>6509833</t>
  </si>
  <si>
    <t>6509834</t>
  </si>
  <si>
    <t>6509835</t>
  </si>
  <si>
    <t>6509836</t>
  </si>
  <si>
    <t>TELA PTO LUNA BURDA L26 ROSADO 15-1611</t>
  </si>
  <si>
    <t>6509837</t>
  </si>
  <si>
    <t>6509838</t>
  </si>
  <si>
    <t>TELA PTO LUNA BURDA L26 VERDE 18-5913</t>
  </si>
  <si>
    <t>6509839</t>
  </si>
  <si>
    <t>6509840</t>
  </si>
  <si>
    <t>6509915</t>
  </si>
  <si>
    <t>TELA PTO MELOCOTON L26 AZUL 17-4139</t>
  </si>
  <si>
    <t>6509916</t>
  </si>
  <si>
    <t>TELA PTO MELOCOTON L26 CAFE 19-1430</t>
  </si>
  <si>
    <t>6509917</t>
  </si>
  <si>
    <t>TELA PTO MELOCOTON L26 CORAL 16-1620</t>
  </si>
  <si>
    <t>6509918</t>
  </si>
  <si>
    <t>6509919</t>
  </si>
  <si>
    <t>6509920</t>
  </si>
  <si>
    <t>TELA PTO MELOCOTON L26 ROSADO 15-1611</t>
  </si>
  <si>
    <t>6509921</t>
  </si>
  <si>
    <t>6509922</t>
  </si>
  <si>
    <t>6509923</t>
  </si>
  <si>
    <t>TELA PTO MELOCOTON L26 VERDE 18-5913</t>
  </si>
  <si>
    <t>6509924</t>
  </si>
  <si>
    <t>6509925</t>
  </si>
  <si>
    <t>TELA PTO NAPOLITANA L26 CAFE 19-1430</t>
  </si>
  <si>
    <t>6509926</t>
  </si>
  <si>
    <t>6509927</t>
  </si>
  <si>
    <t>6509928</t>
  </si>
  <si>
    <t>6509929</t>
  </si>
  <si>
    <t>TELA PTO NAPOLITANA L26 ROSADO 15-1611</t>
  </si>
  <si>
    <t>6509930</t>
  </si>
  <si>
    <t>6509931</t>
  </si>
  <si>
    <t>6509932</t>
  </si>
  <si>
    <t>TELA PTO NAPOLITANA L26 VERDE 18-5913</t>
  </si>
  <si>
    <t>6509946</t>
  </si>
  <si>
    <t>TELA PTO PINA L26 AZUL 17-4139</t>
  </si>
  <si>
    <t>6509947</t>
  </si>
  <si>
    <t>TELA PTO PINA L26 CAFE 19-1430</t>
  </si>
  <si>
    <t>6509948</t>
  </si>
  <si>
    <t>TELA PTO PINA L26 CORAL 16-1620</t>
  </si>
  <si>
    <t>6509949</t>
  </si>
  <si>
    <t>6509950</t>
  </si>
  <si>
    <t>6509951</t>
  </si>
  <si>
    <t>6509952</t>
  </si>
  <si>
    <t>TELA PTO PINA L26 ROSADO 15-1611</t>
  </si>
  <si>
    <t>6509953</t>
  </si>
  <si>
    <t>6509954</t>
  </si>
  <si>
    <t>6509955</t>
  </si>
  <si>
    <t>TELA PTO PINA L26 VERDE 18-5913</t>
  </si>
  <si>
    <t>6509956</t>
  </si>
  <si>
    <t>TELA PTO TOMAS PIQUE L26 AZUL 17-4139</t>
  </si>
  <si>
    <t>6509957</t>
  </si>
  <si>
    <t>TELA PTO TOMAS PIQUE L26 CAFE 19-1430</t>
  </si>
  <si>
    <t>6509958</t>
  </si>
  <si>
    <t>6509959</t>
  </si>
  <si>
    <t>6509960</t>
  </si>
  <si>
    <t>6509961</t>
  </si>
  <si>
    <t>6509962</t>
  </si>
  <si>
    <t>TELA PTO TOMAS PIQUE L26 ROSADO 15-1611</t>
  </si>
  <si>
    <t>6509963</t>
  </si>
  <si>
    <t>6509964</t>
  </si>
  <si>
    <t>6509965</t>
  </si>
  <si>
    <t>TELA PTO TOMAS PIQUE L26 VERDE 18-5913</t>
  </si>
  <si>
    <t>6509966</t>
  </si>
  <si>
    <t>TELA PTO VERONA L26 AZUL 17-4139</t>
  </si>
  <si>
    <t>6509967</t>
  </si>
  <si>
    <t>TELA PTO VERONA L26 AZUL CLARO 14-4215</t>
  </si>
  <si>
    <t>6509968</t>
  </si>
  <si>
    <t>TELA PTO VERONA L26 BEIGE 11-0108</t>
  </si>
  <si>
    <t>6509969</t>
  </si>
  <si>
    <t>TELA PTO VERONA L26 CORAL 16-1620</t>
  </si>
  <si>
    <t>6509970</t>
  </si>
  <si>
    <t>6509971</t>
  </si>
  <si>
    <t>6509972</t>
  </si>
  <si>
    <t>6509973</t>
  </si>
  <si>
    <t>TELA PTO VERONA L26 ROSADO 15-1611</t>
  </si>
  <si>
    <t>6509974</t>
  </si>
  <si>
    <t>6509975</t>
  </si>
  <si>
    <t>6509976</t>
  </si>
  <si>
    <t>TELA PTO VERONA L26 VERDE 18-5913</t>
  </si>
  <si>
    <t>6509977</t>
  </si>
  <si>
    <t>6509978</t>
  </si>
  <si>
    <t>TELA PTO JULIANA BURDA L26 IMP PFD</t>
  </si>
  <si>
    <t>TELA PTO TOMAS PIQUE L26 BEIGE 11-0108</t>
  </si>
  <si>
    <t>TELA PTO TOMAS PIQUE L26 BLANCO 00</t>
  </si>
  <si>
    <t>TELA PTO KIOTO L26 NEGRO 19-4005</t>
  </si>
  <si>
    <t>TELA PTO KIOTO L26 BLANCO 11-0601</t>
  </si>
  <si>
    <t>TELA PTO KIOTO L26 CAFE 19-1430</t>
  </si>
  <si>
    <t>TELA PLN CHERRY SL26 IMP NG 19-4005</t>
  </si>
  <si>
    <t>TELA PTO SUEDED SL26 IMP NEGRO 19-4005</t>
  </si>
  <si>
    <t>TELA PTO SUEDED SL26 IMP VERDE 18-5913</t>
  </si>
  <si>
    <t>TELA PTO ANA SPORT L26 NEGRO 19-4005</t>
  </si>
  <si>
    <t>TELA PTO ANA SPORT L26 PFD 11-0103</t>
  </si>
  <si>
    <t>TELA PTO DANNA RIB L26 V2 BLC 11-0601</t>
  </si>
  <si>
    <t>TELA PTO DANNA RIB L26 V2 AZ OSC 19-4024</t>
  </si>
  <si>
    <t>TELA PTO DANNA RIB L26 V2 ROJO 18-1660</t>
  </si>
  <si>
    <t>TELA PTO DANNA RIB L26 V2 AZUL CROSS</t>
  </si>
  <si>
    <t>TELA PTO DANNA RIB L26 V2 CAFE 19-1430</t>
  </si>
  <si>
    <t>TELA PTO NAPOLITANA L26 BEIGE 11-0108</t>
  </si>
  <si>
    <t>TELA PTO NAPOLITANA L26 NEGRO 19-4005</t>
  </si>
  <si>
    <t>TELA PTO NAPOLITANA L26 BLANCO 11-0601</t>
  </si>
  <si>
    <t>TELA PTO LANILLA SL26 GRIS</t>
  </si>
  <si>
    <t>TELA PTO AZALEA BLONDA SL26 BLC 11-0601</t>
  </si>
  <si>
    <t>TELA PTO AZALEA BLONDA SL26 NG 19-4005</t>
  </si>
  <si>
    <t>TELA PTO AZALEA BLONDA SL26 IMP V2 PFD</t>
  </si>
  <si>
    <t>TELA PTO OPORTO SPUN L26 PFD 11-0103</t>
  </si>
  <si>
    <t>6504007</t>
  </si>
  <si>
    <t>6507678</t>
  </si>
  <si>
    <t>6506474</t>
  </si>
  <si>
    <t>6506859</t>
  </si>
  <si>
    <t>6504339</t>
  </si>
  <si>
    <t>MIRELLA ENCASULADA</t>
  </si>
  <si>
    <t>TELA PTO VERONA L26 V2 FUCSIA 17-2235</t>
  </si>
  <si>
    <t>TELA PTO VERONA L26 V2 ROJO 18-1660</t>
  </si>
  <si>
    <t>TELA PTO VERONA AZUL JASPE</t>
  </si>
  <si>
    <t>TELA PTO VERONA L26 V2 AZUL OSC 19-4024</t>
  </si>
  <si>
    <t>TELA PTO VERONA L26 V2 BLANCO 11-0601</t>
  </si>
  <si>
    <t>TELA PTO VERONA GRIS JASPE</t>
  </si>
  <si>
    <t>TELA PTO VERONA L26 V2 NEGRO 19-4005</t>
  </si>
  <si>
    <t>TELA PTO VERONA NEGRO CROSS</t>
  </si>
  <si>
    <t>TELA PTO VERONA NUDE  14-1209</t>
  </si>
  <si>
    <t>TELA PTO VERONA L25 V2 SANGRIA 19-2047</t>
  </si>
  <si>
    <t>TELA PTO VERONA L25 V2 VERDE CROSS</t>
  </si>
  <si>
    <t>TELA PTO VERONA L25 V2 VERDE MIL 18-0430</t>
  </si>
  <si>
    <t>TELA PTO VERONA L25 V2 VINO CROSS</t>
  </si>
  <si>
    <t>TELA PTO VERONA L26 CAFÉ 19-1430</t>
  </si>
  <si>
    <t>TELA PTO VERONA L27 HABANO 17-1324</t>
  </si>
  <si>
    <t>TELA PTO VERONA L27 MARRON 18-1250</t>
  </si>
  <si>
    <t>TELA PTO VERONA L27 DURAZNO 15-1242</t>
  </si>
  <si>
    <t>TELA PTO VERONA L27 AMARILLO 13-0822</t>
  </si>
  <si>
    <t>TELA PTO VERONA L27 AZ ROYAL 19-3954</t>
  </si>
  <si>
    <t>TELA PTO VERONA L27 AZUL 19-4534</t>
  </si>
  <si>
    <t>TELA PTO VERONA L27 VERDE 17-6323</t>
  </si>
  <si>
    <t>TELA PTO VERONA L27 VERDE 13-6107</t>
  </si>
  <si>
    <t>TELA PTO VERONA L27 VINO 19-1534</t>
  </si>
  <si>
    <t>TELA PTO VERONA L27 ROSADO 17-1718</t>
  </si>
  <si>
    <t>TELA PTO VERONA L27 ROSADO 15-2213</t>
  </si>
  <si>
    <t>TELA PTO VERONA L27 LILA 13-3804</t>
  </si>
  <si>
    <t>TELA PTO VERONA L27 GRIS 18-0601</t>
  </si>
  <si>
    <t>TELA PTO JUANA L25 V2 FUCSIA 17-2235</t>
  </si>
  <si>
    <t>TELA PTO JUANA L25 V2 SANGRIA 19-2047</t>
  </si>
  <si>
    <t>TELA PTO JUANA L25 V2 VERDE MIL 18-0430</t>
  </si>
  <si>
    <t>TELA PTO JUANA L27 GRIS 14-4202</t>
  </si>
  <si>
    <t>TELA PTO JUANA L26 CAFÉ 19-1430</t>
  </si>
  <si>
    <t>TELA PTO JUANA L27 HABANO 17-1324</t>
  </si>
  <si>
    <t>TELA PTO JUANA L27 MARRON 18-1250</t>
  </si>
  <si>
    <t>TELA PTO JUANA L27 DURAZNO 15-1242</t>
  </si>
  <si>
    <t>TELA PTO JUANA L27 AMARILLO 13-0822</t>
  </si>
  <si>
    <t>TELA PTO JUANA L27 AZ ROYAL 19-3954</t>
  </si>
  <si>
    <t>TELA PTO JUANA L27 AZUL 19-4534</t>
  </si>
  <si>
    <t>TELA PTO JUANA L27 VERDE 17-6323</t>
  </si>
  <si>
    <t>TELA PTO JUANA L27 VERDE 13-6107</t>
  </si>
  <si>
    <t>TELA PTO JUANA L27 VINO 19-1534</t>
  </si>
  <si>
    <t>TELA PTO JUANA L27 ROSADO 17-1718</t>
  </si>
  <si>
    <t>TELA PTO JUANA L27 ROSADO 15-2213</t>
  </si>
  <si>
    <t>TELA PTO JUANA L27 LILA 13-3804</t>
  </si>
  <si>
    <t>TELA PTO JUANA L27 GRIS 18-0601</t>
  </si>
  <si>
    <t>TELA PTO MARILYN  FUCSIA 17-2235</t>
  </si>
  <si>
    <t>TELA PTO MARILYN AZUL OSC 19-4024</t>
  </si>
  <si>
    <t>TELA PTO MARILYN BLANCO 11-0601</t>
  </si>
  <si>
    <t>TELA PTO MARILYN L26 AZUL 17-4139</t>
  </si>
  <si>
    <t>TELA PTO MARILYN L26 AZUL CIELO 14-4215</t>
  </si>
  <si>
    <t>TELA PTO MARILYN L26 CORAL 16-1620</t>
  </si>
  <si>
    <t>TELA PTO MARILYN L26 ROSADO 15-1611</t>
  </si>
  <si>
    <t>TELA PTO MARILYN L26 VERDE 18-5913</t>
  </si>
  <si>
    <t>TELA PTO MARILYN NEGRO 19-4005</t>
  </si>
  <si>
    <t>TELA PTO MARILYN NUDE  14-1209</t>
  </si>
  <si>
    <t>TELA PTO MARILYN PFD  11-0103</t>
  </si>
  <si>
    <t>TELA PTO MARILYN SANGRIA 19-2047</t>
  </si>
  <si>
    <t>TELA PTO MARILYN VERDE MILITAR 18-0430</t>
  </si>
  <si>
    <t>TELA PTO MARILYN L26 CAFÉ 19-1430</t>
  </si>
  <si>
    <t>TELA PTO MARILYN L27 HABANO 17-1324</t>
  </si>
  <si>
    <t>TELA PTO MARILYN L27 BIEGE 11-0108</t>
  </si>
  <si>
    <t>TELA PTO MARILYN L27 MARRON 18-1250</t>
  </si>
  <si>
    <t>TELA PTO MARILYN L27 DURAZNO 15-1242</t>
  </si>
  <si>
    <t>TELA PTO MARILYN L27 AMARILLO 13-0822</t>
  </si>
  <si>
    <t>TELA PTO MARILYN L27 AZ ROYAL 19-3954</t>
  </si>
  <si>
    <t>TELA PTO MARILYN L27 VERDE 17-6323</t>
  </si>
  <si>
    <t>TELA PTO MARILYN L27 VERDE 13-6107</t>
  </si>
  <si>
    <t>TELA PTO MARILYN L27 VINO 19-1534</t>
  </si>
  <si>
    <t>TELA PTO MARILYN L27 ROJO 19-1761</t>
  </si>
  <si>
    <t>TELA PTO MARILYN L27 ROSADO 15-2213</t>
  </si>
  <si>
    <t>TELA PTO MARILYN L27 LILA 13-3804</t>
  </si>
  <si>
    <t>TELA PTO MARILYN L27 AZUL 19-4534</t>
  </si>
  <si>
    <t>TELA PTO MARILYN L27 ROSADO 17-1718</t>
  </si>
  <si>
    <t>TELA PTO LUNA BURDA L25 V2 FSC 17-2235</t>
  </si>
  <si>
    <t>TELA PTO LUNA BURDA BLANCO 11-0601</t>
  </si>
  <si>
    <t>TELA PTO LUNA BURDA L25 V2 SANGRIA 19-2047</t>
  </si>
  <si>
    <t>TELA PTO LUNA BURDA L25 V2 VRD MI 18-0430</t>
  </si>
  <si>
    <t>TELA PTO LUNA BURDA CAFE 19-1430</t>
  </si>
  <si>
    <t>TELA PTO LUNA BURDA L27 HABANO 17-1324</t>
  </si>
  <si>
    <t>TELA PTO LUNA BURDA L27 MARRON 18-1250</t>
  </si>
  <si>
    <t>TELA PTO LUNA BURDA L27 DURAZNO 15-1242</t>
  </si>
  <si>
    <t>TELA PTO LUNA BURDA L27 AMARILLO 13-0822</t>
  </si>
  <si>
    <t>TELA PTO LUNA BURDA L27 AZ ROYAL 19-3954</t>
  </si>
  <si>
    <t>TELA PTO LUNA BURDA L27 AZUL 19-4534</t>
  </si>
  <si>
    <t>TELA PTO LUNA BURDA L27 VERDE 17-6323</t>
  </si>
  <si>
    <t>TELA PTO LUNA BURDA L27 VERDE 13-6107</t>
  </si>
  <si>
    <t>TELA PTO LUNA BURDA L27 GRIS 18-0601</t>
  </si>
  <si>
    <t>TELA PTO LUNA BURDA L27 VINO 19-1534</t>
  </si>
  <si>
    <t>TELA PTO LUNA BURDA L27 ROSADO 17-1718</t>
  </si>
  <si>
    <t>TELA PTO LUNA BURDA L27 ROSADO 15-2213</t>
  </si>
  <si>
    <t>TELA PTO LUNA BURDA L27 LILA 13-3804</t>
  </si>
  <si>
    <t>TELA PTO DANNA RIB L25 V2 FSC 17-2235</t>
  </si>
  <si>
    <t>TELA PTO DANNA RIB L25 V2 GRIS JASPE</t>
  </si>
  <si>
    <t>TELA PTO DANNA RIB V2 NEGRO 19-4005</t>
  </si>
  <si>
    <t>TELA PTO DANNA RIB L25 V2 NEG CROSS</t>
  </si>
  <si>
    <t>TELA PTO DANNA RIB L25 V2 NUDE 14-1209</t>
  </si>
  <si>
    <t>TELA PTO DANNA RIB L25 V2 SANGR 19-2047</t>
  </si>
  <si>
    <t>TELA PTO DANNA RIB L25 V2 VERDE CROSS</t>
  </si>
  <si>
    <t>TELA PTO DANNA RIB L25 V2 VRD MI 18-0430</t>
  </si>
  <si>
    <t>TELA PTO DANNA RIB L25 V2 VINO CROSS</t>
  </si>
  <si>
    <t>TELA PTO DANNA RIB L27 HABANO 17-1324</t>
  </si>
  <si>
    <t>TELA PTO DANNA RIB L27 MARRON 18-1250</t>
  </si>
  <si>
    <t>TELA PTO DANNA RIB L27 DURAZNO 15-1242</t>
  </si>
  <si>
    <t>TELA PTO DANNA RIB L27 AMARILLO 13-0822</t>
  </si>
  <si>
    <t>TELA PTO DANNA RIB L27 AZ ROYAL 19-3954</t>
  </si>
  <si>
    <t>TELA PTO DANNA RIB L27 AZUL 19-4534</t>
  </si>
  <si>
    <t>TELA PTO DANNA RIB L27 VERDE 17-6323</t>
  </si>
  <si>
    <t>TELA PTO DANNA RIB L27 VERDE 13-6107</t>
  </si>
  <si>
    <t>TELA PTO DANNA RIB L27 GRIS 18-0601</t>
  </si>
  <si>
    <t>TELA PTO DANNA RIB L27 VINO 19-1534</t>
  </si>
  <si>
    <t>TELA PTO DANNA RIB L27 ROSADO 17-1718</t>
  </si>
  <si>
    <t>TELA PTO DANNA RIB L27 ROSADO 15-2213</t>
  </si>
  <si>
    <t>TELA PTO DANNA RIB L27 LILA 13-3804</t>
  </si>
  <si>
    <t>TELA PLN INCA TWILL IMP L26 ROJO 18-1660</t>
  </si>
  <si>
    <t>TELA PLN INCA TWILL L26 V2 FSC 17-2235</t>
  </si>
  <si>
    <t>TELA PLN INCA TWILL SL26 IMP PFD 11-0103</t>
  </si>
  <si>
    <t>TELA PLN INCA TWILL L26 V2 SANG 19-2047</t>
  </si>
  <si>
    <t>TELA PLN INCA TWILL L25 V2 VERMI 18-0430</t>
  </si>
  <si>
    <t>TELA PLN INCA TWILL IMP L26 CAFÉ 19-1430</t>
  </si>
  <si>
    <t>TELA PLN INCA TWILL L27 HABANO 17-1324</t>
  </si>
  <si>
    <t>TELA PLN INCA TWILL L27 AZUL 19-4534</t>
  </si>
  <si>
    <t>TELA PLN INCA TWILL L27 VERDE 17-6323</t>
  </si>
  <si>
    <t>TELA PLN INCA TWILL L27 AMARILLO 13-0822</t>
  </si>
  <si>
    <t>TELA PLN INCA TWILL L27 VINO 19-1534</t>
  </si>
  <si>
    <t>TELA PLN INCA TWILL L27 ROSADO 17-1718</t>
  </si>
  <si>
    <t>TELA PLN INCA TWILL L27 ROSADO 15-2213</t>
  </si>
  <si>
    <t>TELA PLN INCA TWILL L27 LILA 13-3804</t>
  </si>
  <si>
    <t>TELA PTO PINA L26 BLANCO 11-0601</t>
  </si>
  <si>
    <t>TELA PTO PINA L26 NEGRO 19-4005</t>
  </si>
  <si>
    <t>TELA PTO PINA L26 BEIGE 11-0108</t>
  </si>
  <si>
    <t>TELA PTO PINA L27 AZUL 19-4534</t>
  </si>
  <si>
    <t>TELA PTO PINA L27 VERDE 17-6323</t>
  </si>
  <si>
    <t>TELA PTO PINA L27 VINO 19-1534</t>
  </si>
  <si>
    <t>TELA PTO PINA L27 ROSADO 17-1718</t>
  </si>
  <si>
    <t>TELA PTO PINA L27 LILA 13-3804</t>
  </si>
  <si>
    <t>TELA PTO PINA L27 AZUL 14-4215</t>
  </si>
  <si>
    <t>TELA PTO PINA L27 ROSADO 15-2213</t>
  </si>
  <si>
    <t>TELA PTO PINA L27 GRIS 18-0601</t>
  </si>
  <si>
    <t>TELA PTO TOMAS PIQUE L27 MARRON 18-1250</t>
  </si>
  <si>
    <t>TELA PTO TOMAS PIQUE L27 AZUL 19-4534</t>
  </si>
  <si>
    <t>TELA PTO TOMAS PIQUE L27 VINO 19-1534</t>
  </si>
  <si>
    <t>TELA PTO TOMAS PIQUE L27 LILA 13-3804</t>
  </si>
  <si>
    <t>TELA PTO TOMAS PIQUE L27 VERDE 18-0430</t>
  </si>
  <si>
    <t>TELA PTO TOMAS PIQUE L27 AZUL 14-4215</t>
  </si>
  <si>
    <t>TELA PTO TOMAS PIQUE L27 VERDE 13-6107</t>
  </si>
  <si>
    <t>TELA PTO TOMAS PIQUE L27 AMARIL13-0822</t>
  </si>
  <si>
    <t>TELA PTO TOMAS PIQUE L27 GRIS 18-0601</t>
  </si>
  <si>
    <t>TELA PTO OSAKA L26 BLANCO 11-0601</t>
  </si>
  <si>
    <t>TELA PTO OSAKA L25 V2 FUCSIA 17-2235</t>
  </si>
  <si>
    <t>TELA PTO OSAKA L25 V2 NUDE 14-1209</t>
  </si>
  <si>
    <t>TELA PTO OSAKA L25 V2 SANGRIA 19-2047</t>
  </si>
  <si>
    <t>TELA PTO OSAKA L25 V2 VERDE MIL 18-0430</t>
  </si>
  <si>
    <t>TELA PTO OSAKA L26 NEGRO 19-4005</t>
  </si>
  <si>
    <t>TELA PTO OSAKA L26 CAFE 19-1430</t>
  </si>
  <si>
    <t>TELA PTO OSAKA L27 AZ ROYAL 19-3954</t>
  </si>
  <si>
    <t>TELA PTO OSAKA L27 HABANO 17-1324</t>
  </si>
  <si>
    <t>TELA PTO OSAKA L27 MARRON 18-1250</t>
  </si>
  <si>
    <t>TELA PTO OSAKA L27 DURAZNO 15-1242</t>
  </si>
  <si>
    <t>TELA PTO OSAKA L27 AMARILLO 13-0822</t>
  </si>
  <si>
    <t>TELA PTO OSAKA L27 AZUL 19-4534</t>
  </si>
  <si>
    <t>TELA PTO OSAKA L27 VERDE 17-6323</t>
  </si>
  <si>
    <t>TELA PTO OSAKA L27 VERDE 13-6107</t>
  </si>
  <si>
    <t>TELA PTO OSAKA L27 VINO 19-1534</t>
  </si>
  <si>
    <t>TELA PTO OSAKA L27 ROSADO 17-1718</t>
  </si>
  <si>
    <t>TELA PTO OSAKA L27 ROSADO 15-2213</t>
  </si>
  <si>
    <t>TELA PTO OSAKA L27 LILA 13-3804</t>
  </si>
  <si>
    <t>TELA PTO OSAKA L27 GRIS 18-0601</t>
  </si>
  <si>
    <t>TELA PTO OSAKA L27 ROJO 19-1761</t>
  </si>
  <si>
    <t>TELA PTO KIOTO L27 AZ ROYAL 19-3954</t>
  </si>
  <si>
    <t>TELA PTO KIOTO L27 HABANO 17-1324</t>
  </si>
  <si>
    <t>TELA PTO KIOTO L27 MARRON 18-1250</t>
  </si>
  <si>
    <t>TELA PTO KIOTO L27 DURAZNO 15-1242</t>
  </si>
  <si>
    <t>TELA PTO KIOTO L27 AMARILLO 13-0822</t>
  </si>
  <si>
    <t>TELA PTO KIOTO L27 AZUL 19-4534</t>
  </si>
  <si>
    <t>TELA PTO KIOTO L27 VERDE 17-6323</t>
  </si>
  <si>
    <t>TELA PTO KIOTO L27 VERDE 13-6107</t>
  </si>
  <si>
    <t>TELA PTO KIOTO L27 VINO 19-1534</t>
  </si>
  <si>
    <t>TELA PTO KIOTO L27 ROSADO 17-1718</t>
  </si>
  <si>
    <t>TELA PTO KIOTO L27 ROSADO 15-2213</t>
  </si>
  <si>
    <t>TELA PTO KIOTO L27 LILA 13-3804</t>
  </si>
  <si>
    <t>TELA PTO KIOTO L27 GRIS 18-0601</t>
  </si>
  <si>
    <t>TELA PTO KIOTO L27 ROJO 19-1761</t>
  </si>
  <si>
    <t>TELA PTO GENOVA L26 AZUL OSCURO 19-4024</t>
  </si>
  <si>
    <t>TELA PTO GENOVA L26 BEIGE 11-0108</t>
  </si>
  <si>
    <t>TELA PTO GENOVA L26 BLANCO 11-0601</t>
  </si>
  <si>
    <t>TELA PTO GENOVA L26 NEGRO 19-4005</t>
  </si>
  <si>
    <t>TELA PTO GENOVA L26 ROSADO 15-1611</t>
  </si>
  <si>
    <t>TELA PTO GENOVA L26 ROJO 18-1660</t>
  </si>
  <si>
    <t>TELA PTO GENOVA L26 V2 FUCSIA 17-2235</t>
  </si>
  <si>
    <t>TELA PTO GENOVA L26 V2 NUDE 14-1209</t>
  </si>
  <si>
    <t>TELA PTO GENOVA L26 V2 SANGRIA 19-2047</t>
  </si>
  <si>
    <t>TELA PTO GENOVA L26 V2 VERDE MIL 18-0430</t>
  </si>
  <si>
    <t>TELA PTO GENOVA L26 AZUL 17-4139</t>
  </si>
  <si>
    <t>TELA PTO GENOVA L26 AZUL CLARO 14-4215</t>
  </si>
  <si>
    <t>TELA PTO GENOVA L26 CORAL 16-1620</t>
  </si>
  <si>
    <t>TELA PTO GENOVA L26 VERDE 18-5913</t>
  </si>
  <si>
    <t>TELA PTO GENOVA L27 GRIS 18-0601</t>
  </si>
  <si>
    <t>TELA PTO GENOVA L27 CAFE 19-1430</t>
  </si>
  <si>
    <t>TELA PTO GENOVA L27 HABANO 17-1324</t>
  </si>
  <si>
    <t>TELA PTO GENOVA L27 AZ ROYAL 19-3954</t>
  </si>
  <si>
    <t>TELA PTO GENOVA L27 AZUL 19-4534</t>
  </si>
  <si>
    <t>TELA PTO GENOVA L27 MARRON 18-1250</t>
  </si>
  <si>
    <t>TELA PTO GENOVA L27 DURAZNO 15-1242</t>
  </si>
  <si>
    <t>TELA PTO GENOVA L27 AMARILLO 13-0822</t>
  </si>
  <si>
    <t>TELA PTO GENOVA L27 VERDE 17-6323</t>
  </si>
  <si>
    <t>TELA PTO GENOVA L27 VERDE 13-6107</t>
  </si>
  <si>
    <t>TELA PTO GENOVA L27 VINO 19-1534</t>
  </si>
  <si>
    <t>TELA PTO GENOVA L27 ROSADO 17-1718</t>
  </si>
  <si>
    <t>TELA PTO GENOVA L27 ROSADO 15-2213</t>
  </si>
  <si>
    <t>TELA PTO GENOVA L27 LILA 13-3804</t>
  </si>
  <si>
    <t>TELA PTO GENOVA L27 ROJO 19-1761</t>
  </si>
  <si>
    <t>TELA PTO MELOCOTON SL25 V2 AZUL O 19-4024</t>
  </si>
  <si>
    <t>TELA PTO MELOCOTON V2 BLANCO 11-0601</t>
  </si>
  <si>
    <t>TELA PTO MELOCOTON V2 NEGRO 19-4005</t>
  </si>
  <si>
    <t>TELA PTO MELOCOTON BEIGE 11-0108</t>
  </si>
  <si>
    <t>TELA PTO MELOCOTON SL25 V2 ROJO 18-1660</t>
  </si>
  <si>
    <t>TELA PTO MELOCOTON L27 MARRON 18-1250</t>
  </si>
  <si>
    <t>TELA PTO MELOCOTON L27 AZUL 19-4534</t>
  </si>
  <si>
    <t>TELA PTO MELOCOTON L27 VERDE 17-6323</t>
  </si>
  <si>
    <t>TELA PTO MELOCOTON L27 VINO 19-1534</t>
  </si>
  <si>
    <t>TELA PTO MELOCOTON L27 LILA 13-3804</t>
  </si>
  <si>
    <t>TELA PTO MELOCOTON L27 ROSADO 17-1718</t>
  </si>
  <si>
    <t>TELA PTO MELOCOTON L27 ROSADO 15-2213</t>
  </si>
  <si>
    <t>TELA PTO MELOCOTON L27 AZUL 14-4215</t>
  </si>
  <si>
    <t>TELA PTO MELOCOTON L27 AMARILLO 13-0822</t>
  </si>
  <si>
    <t>TELA PTO MELOCOTON L27 ROJO 19-1761</t>
  </si>
  <si>
    <t>TELA PTO NAPOLITANA L25 V2 NUDE 14-1209</t>
  </si>
  <si>
    <t>TELA PTO NAPOLITANA L27 MARRON 18-1250</t>
  </si>
  <si>
    <t>TELA PTO NAPOLITANA L27 AZUL 19-4534</t>
  </si>
  <si>
    <t>TELA PTO NAPOLITANA L27 VINO 19-1534</t>
  </si>
  <si>
    <t>TELA PTO NAPOLITANA L27 AZ ROYAL 19-3954</t>
  </si>
  <si>
    <t>TELA PTO NAPOLITANA L27 HABANO 17-1324</t>
  </si>
  <si>
    <t>TELA PTO NAPOLITANA L27 VERDE 18-0430</t>
  </si>
  <si>
    <t>TELA PTO NAPOLITANA L27 AZUL 14-4215</t>
  </si>
  <si>
    <t>TELA PTO NAPOLITANA L27 GRIS 18-0601</t>
  </si>
  <si>
    <t>TELA PTO ANA SPORT L27 MARRON 18-1250</t>
  </si>
  <si>
    <t>TELA PTO ANA SPORT L27 AZUL 19-4534</t>
  </si>
  <si>
    <t>TELA PTO ANA SPORT L27 VERDE 17-6323</t>
  </si>
  <si>
    <t>TELA PTO ANA SPORT L27 VINO 19-1534</t>
  </si>
  <si>
    <t>TELA PTO ANA SPORT L27 AZ ROYAL 19-3954</t>
  </si>
  <si>
    <t>TELA PTO ANA SPORT L27 VERDE 18-0430</t>
  </si>
  <si>
    <t>TELA PTO ANA SPORT L27 AZUL 14-4215</t>
  </si>
  <si>
    <t>TELA PTO ANA SPORT L27 GRIS 18-0601</t>
  </si>
  <si>
    <t>TELA PTO SPINING L26 BEIGE 11-0108</t>
  </si>
  <si>
    <t>TELA PTO SPINING L26 BLANCO 11-0601</t>
  </si>
  <si>
    <t>TELA PTO SPINING L26 NUDE 14-1209</t>
  </si>
  <si>
    <t>TELA PTO NAPOLES L26 PFD 11-0103</t>
  </si>
  <si>
    <t>TELA PTO LIRIO OJALILLO IMP BEIGE 11-0103</t>
  </si>
  <si>
    <t>TELA PTO LIRIO OJALILLO SL26 NG 19-4005</t>
  </si>
  <si>
    <t>TELA PTO LIRIO OJALILLO L26 ROSA 15-1611</t>
  </si>
  <si>
    <t>TELA PTO LIRIO OJALILLO SL25 NUD 14-1209</t>
  </si>
  <si>
    <t>TELA PTO LIRIO OJALILLO L27 BEI 11-0108</t>
  </si>
  <si>
    <t>TELA PTO LIRIO OJALILLO L27 VINO 19-1534</t>
  </si>
  <si>
    <t>TELA PTO LIRIO OJALILLO L27 AZUL 14-4215</t>
  </si>
  <si>
    <t>TELA PTO LIRIO OJALILLO L27 ROJO 19-1761</t>
  </si>
  <si>
    <t>TELA PTO LIRIO OJALILLO L27 AMA 13-0822</t>
  </si>
  <si>
    <t>TELA PTO LIRIO OJALILLO L27 ROSA 15-2213</t>
  </si>
  <si>
    <t>TELA PLN CHERRY STRECH IMP HABA 17-1324</t>
  </si>
  <si>
    <t>TELA PLN CHERRY STRECH IMP VINO 19-1534</t>
  </si>
  <si>
    <t>TELA PLN CHERRY STRECH IMP NUDE 14-1209</t>
  </si>
  <si>
    <t>TELA PLN CHERRY STRECH IMP VERDE 18-5913</t>
  </si>
  <si>
    <t>TELA PLN CHERRY STRECH IMP AZOSC 19-4024</t>
  </si>
  <si>
    <t>TELA PTO SUEDED IMP VINO 19-1534</t>
  </si>
  <si>
    <t>TELA PTO SUEDED IMP AZUL 19-4024</t>
  </si>
  <si>
    <t>TELA PTO SUEDED IMP GRIS 18-0601</t>
  </si>
  <si>
    <t>TELA PTO SUEDED IMP CAFE 19-1430</t>
  </si>
  <si>
    <t>TELA PTO SUEDED IMP NUDE 14-1209</t>
  </si>
  <si>
    <t>TELA PTO PU464H TIPCUERO IMP HAB 17-1324</t>
  </si>
  <si>
    <t>TELA PTO PU464H TIPCUESL26IMP NG 19-4005</t>
  </si>
  <si>
    <t>TELA PTO PU464H TIPCUESL26IMPBEI 11-0108</t>
  </si>
  <si>
    <t>TELA PTO PU464H TIPCUESL26IMPCF 19-1430</t>
  </si>
  <si>
    <t>TELA PTO PU464H TIPCUERO IMP VIN 19-1534</t>
  </si>
  <si>
    <t>TELA PTO PU464H TIPCUERO IMP AZ 19-4024</t>
  </si>
  <si>
    <t>TELA PTO PU464H TIPCUERO IMP VER 18-5913</t>
  </si>
  <si>
    <t>TELA PTO LANILLA L27 GRIS 14-4202</t>
  </si>
  <si>
    <t>TELA PTO LANILLA L27 AZUL JASPE 17-4139</t>
  </si>
  <si>
    <t>TELA PTO LANILLA UNICO L27 BLC 11-0601</t>
  </si>
  <si>
    <t>TELA PTO LANILLA UNICO L27 VINO 19-1534</t>
  </si>
  <si>
    <t>TELA PTO LANILLA UNICOLOR PFD 11-0103</t>
  </si>
  <si>
    <t>TELA PTO LANILLA UNICOLOR NEGRO 19-4005</t>
  </si>
  <si>
    <t>TELA PTO TULL MILENA SL26 BLANCO 11-0601</t>
  </si>
  <si>
    <t>TELA PTO TULL MILENA SL26 NEGRO 19-4005</t>
  </si>
  <si>
    <t>TELA PTO TULL MILENA SL26 IMP PFD</t>
  </si>
  <si>
    <t>TELA PTO MILENA TULL L27 VINO 19-1534</t>
  </si>
  <si>
    <t>TELA PTO MILENA TULL L27 AZUL 19-4024</t>
  </si>
  <si>
    <t>TELA PTO MILENA TULL L27 ROJO 19-1761</t>
  </si>
  <si>
    <t>TELA PTO TULL MILENA L27 ROSA 15-1611</t>
  </si>
  <si>
    <t>TELA PTO MILENA TULL L27 NUDE 14-1209</t>
  </si>
  <si>
    <t>TELA PTO AZALEA BLONDA L27 ROJO 19-1761</t>
  </si>
  <si>
    <t>TELA PTO AZALEA BLONDA L27 VINO 19-1534</t>
  </si>
  <si>
    <t>TELA PTO AZALEA BLONDA L27 AZUL 19-4024</t>
  </si>
  <si>
    <t>TELA PTO AZALEA BLONDA L27 NUDE 14-1209</t>
  </si>
  <si>
    <t>TELA PTO CATALINA RIB L26 NEGRO 19-4005</t>
  </si>
  <si>
    <t>TELA PTO CATALINA RIB L26 BLANCO 11-0601</t>
  </si>
  <si>
    <t>TELA PTO CATALINA RIB L27 GRIS 14-4202</t>
  </si>
  <si>
    <t>TELA PTO CATALINA RIB L27 HABANO 17-1324</t>
  </si>
  <si>
    <t>TELA PTO CATALINA RIB L25 BEIGE 11-0108</t>
  </si>
  <si>
    <t>TELA PTO CATALINA RIB L27 AZUL 17-4139</t>
  </si>
  <si>
    <t>TELA PTO CATALINA RIB L27 AZUL 14-4215</t>
  </si>
  <si>
    <t>TELA PTO CATALINA RIB L27 VERDE 18-5913</t>
  </si>
  <si>
    <t>TELA PTO CATALINA RIB L27 AZUL 19-4534</t>
  </si>
  <si>
    <t>TELA PTO CATALINA RIB L27 VERDE 17-6323</t>
  </si>
  <si>
    <t>TELA PTO CATALINA RIB L27 VINO 19-1534</t>
  </si>
  <si>
    <t>TELA PTO CATALINA RIB L27 CORAL 16-1620</t>
  </si>
  <si>
    <t>TELA PTO CATALINA RIB L27 ROSADO 17-1718</t>
  </si>
  <si>
    <t>TELA PTO CATALINA RIB L27 ROSADO 15-2213</t>
  </si>
  <si>
    <t>TELA PLN ACTIVE PFD 11-0103</t>
  </si>
  <si>
    <t>TELA PLN ANDRES CHAMBRAY BLUE</t>
  </si>
  <si>
    <t>TELA PLN GAVIOTA BLACK DENIM</t>
  </si>
  <si>
    <t>TELA PLN IAGO BLACK DENIM RIGIDO</t>
  </si>
  <si>
    <t>TELA PTO GALES RIB L27 AZUL OS 19-4024</t>
  </si>
  <si>
    <t>TELA PTO GALES RIB L27 SANGRIA 19-2047</t>
  </si>
  <si>
    <t>TELA PTO GALES RIB L27 AZUL 14-4215</t>
  </si>
  <si>
    <t>TELA PTO GALES RIB L27 AZUL 17-4139</t>
  </si>
  <si>
    <t>TELA PTO GALES RIB L27 AZUL 19-4534</t>
  </si>
  <si>
    <t>TELA PTO GALES RIB L27 BEIGE 11-0108</t>
  </si>
  <si>
    <t>TELA PTO GALES RIB L27 CAFE 19-1430</t>
  </si>
  <si>
    <t>TELA PTO GALES RIB L27 CORAL 16-1620</t>
  </si>
  <si>
    <t>TELA PTO GALES RIB L27 FUCSIA 17-2235</t>
  </si>
  <si>
    <t>TELA PTO GALES RIB L27 GRIS 14-4202</t>
  </si>
  <si>
    <t>TELA PTO GALES RIB L27 HABANO 17-1324</t>
  </si>
  <si>
    <t>TELA PTO GALES RIB L27 NEGRO 19-4005</t>
  </si>
  <si>
    <t>TELA PTO GALES RIB L27 NUDE 14-1209</t>
  </si>
  <si>
    <t>TELA PTO GALES RIB L27 ROJO 18-1660</t>
  </si>
  <si>
    <t>TELA PTO GALES RIB L27 ROSADO 15-2213</t>
  </si>
  <si>
    <t>TELA PTO GALES RIB L27 ROSADO 17-1718</t>
  </si>
  <si>
    <t>TELA PTO GALES RIB L27 VERDE 17-6323</t>
  </si>
  <si>
    <t>TELA PTO GALES RIB L27 VERDE 18-0430</t>
  </si>
  <si>
    <t>TELA PTO GALES RIB L27 VERDE 18-5913</t>
  </si>
  <si>
    <t>TELA PTO GALES RIB L27 VINO 19-1534</t>
  </si>
  <si>
    <t>TELA PTO LONDRES L27 FUCSIA 17-2235</t>
  </si>
  <si>
    <t>TELA PTO LONDRES L27 ROJO 18-1660</t>
  </si>
  <si>
    <t>TELA PTO LONDRES L27 AZUL JASPE</t>
  </si>
  <si>
    <t>TELA PTO LONDRES L27 AZUL OSC 19-4024</t>
  </si>
  <si>
    <t>TELA PTO LONDRES L27 GRIS JASPE</t>
  </si>
  <si>
    <t>TELA PTO LONDRES L27 SANGRIA 19-2047</t>
  </si>
  <si>
    <t>TELA PTO LONDRES L27 VERDE MIL 18-0430</t>
  </si>
  <si>
    <t>TELA PTO LONDRES L27 VINO CROSS</t>
  </si>
  <si>
    <t>TELA PTO LONDRES L27 AZUL CLARO 14-4215</t>
  </si>
  <si>
    <t>TELA PTO LONDRES L27 BEIGE 11-0108</t>
  </si>
  <si>
    <t>TELA PTO LONDRES L27 GRIS 14-4203</t>
  </si>
  <si>
    <t>TELA PTO LONDRES L27 MOSTAZA 15-0953</t>
  </si>
  <si>
    <t>TELA PTO LONDRES L27 ROSA CLARO 14-1907</t>
  </si>
  <si>
    <t>TELA PTO LONDRES L27 ROSADO 15-1611</t>
  </si>
  <si>
    <t>TELA PTO LONDRES L27 TERRACOTA 18-1440</t>
  </si>
  <si>
    <t>TELA PTO LONDRES L27 AZUL PET 19-4340</t>
  </si>
  <si>
    <t>TELA PTO LONDRES L27 AZUL ROY 18-4051</t>
  </si>
  <si>
    <t>TELA PTO LONDRES L27 HABANO 16-1334</t>
  </si>
  <si>
    <t>TELA PTO LONDRES L27 LILA 13-3820</t>
  </si>
  <si>
    <t>TELA PTO LONDRES L27 NARANJA 16-1359</t>
  </si>
  <si>
    <t>TELA PTO LONDRES L27 VERDE 15-0318</t>
  </si>
  <si>
    <t>TELA PTO LONDRES L27 VERDE 18-5913</t>
  </si>
  <si>
    <t>TELA PTO LONDRES L27 VERDE MENTA 13-6007</t>
  </si>
  <si>
    <t>TELA PTO LONDRES L27 VINO 19-2410</t>
  </si>
  <si>
    <t>TELA PTO LONDRES L27 AMARILLO 13-0822</t>
  </si>
  <si>
    <t>TELA PTO LONDRES L27 AZ ROYAL 19-3954</t>
  </si>
  <si>
    <t>TELA PTO LONDRES L27 AZUL 19-4534</t>
  </si>
  <si>
    <t>TELA PTO LONDRES L27 DURAZNO 15-1242</t>
  </si>
  <si>
    <t>TELA PTO LONDRES L27 GRIS 18-0601</t>
  </si>
  <si>
    <t>TELA PTO LONDRES L27 HABANO 17-1324</t>
  </si>
  <si>
    <t>TELA PTO LONDRES L27 LILA 13-3804</t>
  </si>
  <si>
    <t>TELA PTO LONDRES L27 MARRON 18-1250</t>
  </si>
  <si>
    <t>TELA PTO LONDRES L27 ROSADO 15-2213</t>
  </si>
  <si>
    <t>TELA PTO LONDRES L27 ROSADO 17-1718</t>
  </si>
  <si>
    <t>TELA PTO LONDRES L27 VERDE 13-6107</t>
  </si>
  <si>
    <t>TELA PTO LONDRES L27 VERDE 17-6323</t>
  </si>
  <si>
    <t>TELA PTO LONDRES L27 VINO 19-1534</t>
  </si>
  <si>
    <t>TELA PTO LONDRES L27 NEGRO CROSS</t>
  </si>
  <si>
    <t>TELA PTO LONDRES L27 NUDE 14-1209</t>
  </si>
  <si>
    <t>TELA PTO TORONJA BURDA L27 AZCLA 14-4215</t>
  </si>
  <si>
    <t>TELA PTO TORONJA BURDA L27 AMA 13-0822</t>
  </si>
  <si>
    <t>TELA PTO TORONJA BURDA L27 AZROY 19-3954</t>
  </si>
  <si>
    <t>TELA PTO TORONJA BURDA L27 AZUL 17-4139</t>
  </si>
  <si>
    <t>TELA PTO TORONJA BURDA L27 AZUL 19-4534</t>
  </si>
  <si>
    <t>TELA PTO TORONJA BURDA L27 AZUL JASPE</t>
  </si>
  <si>
    <t>TELA PTO TORONJA BURDA L27 AZOSC 19-4024</t>
  </si>
  <si>
    <t>TELA PTO TORONJA BURDA L27 BEIGE 11-0108</t>
  </si>
  <si>
    <t>TELA PTO TORONJA BURDA L27 CAFE 19-1430</t>
  </si>
  <si>
    <t>TELA PTO TORONJA BURDA L27 CORAL 16-1620</t>
  </si>
  <si>
    <t>TELA PTO TORONJA BURDA L27 DURAZ 15-1242</t>
  </si>
  <si>
    <t>TELA PTO TORONJA BURDA L27 GRIS 18-0601</t>
  </si>
  <si>
    <t>TELA PTO TORONJA BURDA L27 GRIS JASPE</t>
  </si>
  <si>
    <t>TELA PTO TORONJA BURDA L27 HABA 17-1324</t>
  </si>
  <si>
    <t>TELA PTO TORONJA BURDA L27 LILA 13-3804</t>
  </si>
  <si>
    <t>TELA PTO TORONJA BURDA L27 MARRO 18-1250</t>
  </si>
  <si>
    <t>TELA PTO TORONJA BURDA L27 NEGRO CROSS</t>
  </si>
  <si>
    <t>TELA PTO TORONJA BURDA L27 NUDE 14-1209</t>
  </si>
  <si>
    <t>TELA PTO TORONJA BURDA L27 ROJO 18-1660</t>
  </si>
  <si>
    <t>TELA PTO TORONJA BURDA L27 ROS 15-1611</t>
  </si>
  <si>
    <t>TELA PTO TORONJA BURDA L27 ROS 15-2213</t>
  </si>
  <si>
    <t>TELA PTO TORONJA BURDA L27 ROS 17-1718</t>
  </si>
  <si>
    <t>TELA PTO TORONJA BURDA L27 FSC 17-2235</t>
  </si>
  <si>
    <t>TELA PTO TORONJA BURDA L27 SANG 19-2047</t>
  </si>
  <si>
    <t>TELA PTO TORONJA BURDA L27 VRMIL 18-0430</t>
  </si>
  <si>
    <t>TELA PTO TORONJA BURDA L27 VERDE 13-6107</t>
  </si>
  <si>
    <t>TELA PTO TORONJA BURDA L27 VERDE 17-6323</t>
  </si>
  <si>
    <t>TELA PTO TORONJA BURDA L27 VERDE 18-5913</t>
  </si>
  <si>
    <t>TELA PTO TORONJA BURDA L27 VERDE JASPE</t>
  </si>
  <si>
    <t>TELA PTO TORONJA BURDA L27 VINO 19-1534</t>
  </si>
  <si>
    <t>TELA PTO TORONJA BURDA L27 VINO CROSS</t>
  </si>
  <si>
    <t>Leidy Muñoz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</si>
</sst>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0.0"/>
    <numFmt numFmtId="166" formatCode="[$$]\ #,##0.00\ ;[$$]&quot; (&quot;#,##0.00\);[$$]&quot; -&quot;00\ ;@\ "/>
    <numFmt numFmtId="167" formatCode="[$$]\ #,##0.00\ ;[$$]&quot; (&quot;#,##0.00\);[$$]&quot; -&quot;00.00\ ;@\ "/>
    <numFmt numFmtId="168" formatCode="0\ ;\-0\ ;\-#\ ;@\ "/>
    <numFmt numFmtId="169" formatCode="#,##0_ ;\-#,##0\ "/>
    <numFmt numFmtId="170" formatCode="#,##0.0\ ;\-#,##0.0\ ;\-#\ ;@\ "/>
    <numFmt numFmtId="171" formatCode="[$$]\ #,##0.0\ ;[$$]&quot; (&quot;#,##0.0\);[$$]&quot; -&quot;00.0\ ;@\ "/>
    <numFmt numFmtId="172" formatCode="&quot;$ &quot;#,##0"/>
    <numFmt numFmtId="173" formatCode="#,##0.00\ ;\-#,##0.00\ ;\-#.0\ ;@\ "/>
  </numFmts>
  <fonts count="69">
    <font>
      <sz val="11"/>
      <color theme="1"/>
      <name val="Calibri"/>
      <family val="2"/>
      <scheme val="minor"/>
    </font>
    <font>
      <sz val="11"/>
      <color theme="1"/>
      <name val="Gilroy"/>
      <family val="3"/>
    </font>
    <font>
      <b/>
      <sz val="16"/>
      <color theme="1"/>
      <name val="Gilroy"/>
      <family val="3"/>
    </font>
    <font>
      <sz val="10"/>
      <color theme="1"/>
      <name val="Gilroy"/>
      <family val="3"/>
    </font>
    <font>
      <sz val="12"/>
      <color theme="1"/>
      <name val="Gilroy"/>
      <family val="3"/>
    </font>
    <font>
      <sz val="14"/>
      <color theme="1"/>
      <name val="Gilroy"/>
      <family val="3"/>
    </font>
    <font>
      <sz val="11"/>
      <color rgb="FF000000"/>
      <name val="Gilroy"/>
      <family val="3"/>
    </font>
    <font>
      <sz val="8"/>
      <name val="Calibri"/>
      <family val="2"/>
      <scheme val="minor"/>
    </font>
    <font>
      <b/>
      <sz val="12"/>
      <color theme="1"/>
      <name val="Gilroy"/>
      <family val="3"/>
    </font>
    <font>
      <sz val="11"/>
      <color theme="1"/>
      <name val="Calibri"/>
      <family val="2"/>
      <scheme val="minor"/>
    </font>
    <font>
      <b/>
      <sz val="11"/>
      <color theme="1"/>
      <name val="Gilroy"/>
      <family val="3"/>
    </font>
    <font>
      <b/>
      <sz val="18"/>
      <color theme="1"/>
      <name val="Gilroy"/>
      <family val="3"/>
    </font>
    <font>
      <b/>
      <sz val="22"/>
      <color theme="1"/>
      <name val="Gilroy"/>
      <family val="3"/>
    </font>
    <font>
      <b/>
      <sz val="20"/>
      <color theme="1"/>
      <name val="Gilroy"/>
      <family val="3"/>
    </font>
    <font>
      <b/>
      <sz val="9"/>
      <color theme="1"/>
      <name val="Gilroy"/>
      <family val="3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242424"/>
      <name val="Gilroy"/>
      <family val="3"/>
    </font>
    <font>
      <sz val="11"/>
      <color rgb="FF242424"/>
      <name val="Gilroy"/>
      <family val="3"/>
    </font>
    <font>
      <sz val="11"/>
      <name val="Gilroy"/>
      <family val="3"/>
    </font>
    <font>
      <b/>
      <sz val="11"/>
      <name val="Gilroy"/>
      <family val="3"/>
    </font>
    <font>
      <b/>
      <i/>
      <sz val="17"/>
      <color theme="0" tint="-4.9989318521683403E-2"/>
      <name val="Gilroy"/>
      <family val="3"/>
    </font>
    <font>
      <b/>
      <sz val="12"/>
      <color rgb="FF000000"/>
      <name val="Gilroy"/>
      <family val="3"/>
    </font>
    <font>
      <b/>
      <sz val="12"/>
      <color theme="0"/>
      <name val="Gilroy"/>
      <family val="3"/>
    </font>
    <font>
      <sz val="14"/>
      <color rgb="FF000000"/>
      <name val="Gilroy"/>
      <family val="3"/>
    </font>
    <font>
      <b/>
      <sz val="12"/>
      <name val="Gilroy"/>
      <family val="3"/>
    </font>
    <font>
      <sz val="12"/>
      <color rgb="FF000000"/>
      <name val="Gilroy"/>
      <family val="3"/>
    </font>
    <font>
      <b/>
      <sz val="14"/>
      <color theme="1"/>
      <name val="Gilroy"/>
      <family val="3"/>
    </font>
    <font>
      <b/>
      <sz val="12"/>
      <color theme="0" tint="-4.9989318521683403E-2"/>
      <name val="Gilroy"/>
      <family val="3"/>
    </font>
    <font>
      <b/>
      <vertAlign val="superscript"/>
      <sz val="12"/>
      <color theme="0" tint="-4.9989318521683403E-2"/>
      <name val="Gilroy"/>
      <family val="3"/>
    </font>
    <font>
      <sz val="12"/>
      <color theme="0" tint="-4.9989318521683403E-2"/>
      <name val="Gilroy"/>
      <family val="3"/>
    </font>
    <font>
      <b/>
      <sz val="11"/>
      <color rgb="FF000000"/>
      <name val="Gilroy"/>
      <family val="3"/>
    </font>
    <font>
      <b/>
      <i/>
      <sz val="18"/>
      <color theme="0" tint="-4.9989318521683403E-2"/>
      <name val="Gilroy"/>
      <family val="3"/>
    </font>
    <font>
      <sz val="14"/>
      <color theme="0" tint="-4.9989318521683403E-2"/>
      <name val="Gilroy"/>
      <family val="3"/>
    </font>
    <font>
      <sz val="11"/>
      <color theme="0" tint="-4.9989318521683403E-2"/>
      <name val="Gilroy"/>
      <family val="3"/>
    </font>
    <font>
      <b/>
      <i/>
      <sz val="14"/>
      <color theme="0" tint="-4.9989318521683403E-2"/>
      <name val="Gilroy"/>
      <family val="3"/>
    </font>
    <font>
      <sz val="12"/>
      <name val="Gilroy"/>
      <family val="3"/>
    </font>
    <font>
      <sz val="14"/>
      <name val="Gilroy"/>
      <family val="3"/>
    </font>
    <font>
      <b/>
      <sz val="14"/>
      <color theme="4" tint="-0.499984740745262"/>
      <name val="Gilroy"/>
      <family val="3"/>
    </font>
    <font>
      <vertAlign val="superscript"/>
      <sz val="12"/>
      <name val="Gilroy"/>
      <family val="3"/>
    </font>
    <font>
      <b/>
      <i/>
      <sz val="14"/>
      <color rgb="FF000000"/>
      <name val="Gilroy"/>
      <family val="3"/>
    </font>
    <font>
      <i/>
      <sz val="12"/>
      <color rgb="FF000000"/>
      <name val="Gilroy"/>
      <family val="3"/>
    </font>
    <font>
      <i/>
      <vertAlign val="superscript"/>
      <sz val="12"/>
      <color rgb="FF000000"/>
      <name val="Gilroy"/>
      <family val="3"/>
    </font>
    <font>
      <b/>
      <i/>
      <sz val="14"/>
      <name val="Gilroy"/>
      <family val="3"/>
    </font>
    <font>
      <b/>
      <vertAlign val="superscript"/>
      <sz val="12"/>
      <color rgb="FF000000"/>
      <name val="Gilroy"/>
      <family val="3"/>
    </font>
    <font>
      <b/>
      <sz val="10"/>
      <color rgb="FF000000"/>
      <name val="Gilroy"/>
      <family val="3"/>
    </font>
    <font>
      <b/>
      <vertAlign val="superscript"/>
      <sz val="10"/>
      <color rgb="FF000000"/>
      <name val="Gilroy"/>
      <family val="3"/>
    </font>
    <font>
      <b/>
      <sz val="12"/>
      <color theme="4" tint="-0.499984740745262"/>
      <name val="Gilroy"/>
      <family val="3"/>
    </font>
    <font>
      <b/>
      <i/>
      <sz val="16"/>
      <color theme="0" tint="-4.9989318521683403E-2"/>
      <name val="Gilroy"/>
      <family val="3"/>
    </font>
    <font>
      <i/>
      <sz val="16"/>
      <color theme="0" tint="-4.9989318521683403E-2"/>
      <name val="Gilroy"/>
      <family val="3"/>
    </font>
    <font>
      <i/>
      <sz val="14"/>
      <color theme="0" tint="-4.9989318521683403E-2"/>
      <name val="Gilroy"/>
      <family val="3"/>
    </font>
    <font>
      <b/>
      <i/>
      <sz val="26"/>
      <color theme="0" tint="-4.9989318521683403E-2"/>
      <name val="Gilroy"/>
      <family val="3"/>
    </font>
    <font>
      <b/>
      <i/>
      <sz val="20"/>
      <color theme="0" tint="-4.9989318521683403E-2"/>
      <name val="Gilroy"/>
      <family val="3"/>
    </font>
    <font>
      <b/>
      <sz val="11"/>
      <color theme="0" tint="-4.9989318521683403E-2"/>
      <name val="Gilroy"/>
      <family val="3"/>
    </font>
    <font>
      <b/>
      <sz val="16"/>
      <color theme="0" tint="-4.9989318521683403E-2"/>
      <name val="Gilroy"/>
      <family val="3"/>
    </font>
    <font>
      <b/>
      <sz val="11"/>
      <color rgb="FFFF0000"/>
      <name val="Gilroy"/>
      <family val="3"/>
    </font>
    <font>
      <b/>
      <sz val="16"/>
      <color theme="0"/>
      <name val="Gilroy"/>
      <family val="3"/>
    </font>
    <font>
      <b/>
      <sz val="16"/>
      <name val="Gilroy"/>
      <family val="3"/>
    </font>
    <font>
      <b/>
      <sz val="11"/>
      <color theme="4" tint="-0.499984740745262"/>
      <name val="Gilroy"/>
      <family val="3"/>
    </font>
    <font>
      <b/>
      <sz val="11"/>
      <color theme="1"/>
      <name val="Gilroy"/>
    </font>
    <font>
      <b/>
      <sz val="10"/>
      <color theme="1"/>
      <name val="Gilroy"/>
    </font>
    <font>
      <b/>
      <sz val="9"/>
      <color theme="1"/>
      <name val="Gilroy"/>
    </font>
    <font>
      <b/>
      <sz val="14"/>
      <color theme="1"/>
      <name val="Gilroy"/>
    </font>
    <font>
      <sz val="12"/>
      <color rgb="FF000000"/>
      <name val="Aptos"/>
      <family val="2"/>
    </font>
    <font>
      <sz val="11"/>
      <color theme="1"/>
      <name val="Gilroy"/>
    </font>
    <font>
      <sz val="11"/>
      <color rgb="FF242424"/>
      <name val="72"/>
      <family val="2"/>
    </font>
    <font>
      <sz val="11"/>
      <color theme="1"/>
      <name val="72"/>
      <family val="2"/>
    </font>
    <font>
      <sz val="14"/>
      <color rgb="FF000000"/>
      <name val="Aptos"/>
      <family val="2"/>
    </font>
    <font>
      <sz val="10"/>
      <color rgb="FF000000"/>
      <name val="Gilroy"/>
      <family val="3"/>
    </font>
  </fonts>
  <fills count="3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rgb="FFC0C0C0"/>
      </patternFill>
    </fill>
    <fill>
      <patternFill patternType="solid">
        <fgColor theme="3" tint="0.79998168889431442"/>
        <bgColor rgb="FFFFFFCC"/>
      </patternFill>
    </fill>
    <fill>
      <patternFill patternType="solid">
        <fgColor theme="0" tint="-0.499984740745262"/>
        <bgColor rgb="FFFFFFCC"/>
      </patternFill>
    </fill>
    <fill>
      <patternFill patternType="solid">
        <fgColor rgb="FFFFFF00"/>
        <bgColor rgb="FFFFFFCC"/>
      </patternFill>
    </fill>
    <fill>
      <patternFill patternType="solid">
        <fgColor theme="0" tint="-0.34998626667073579"/>
        <b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rgb="FFC9C9C9"/>
      </patternFill>
    </fill>
    <fill>
      <patternFill patternType="solid">
        <fgColor theme="0" tint="-0.34998626667073579"/>
        <bgColor rgb="FFC9C9C9"/>
      </patternFill>
    </fill>
    <fill>
      <patternFill patternType="solid">
        <fgColor rgb="FF0070C0"/>
        <bgColor rgb="FFFFFFCC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rgb="FFFFFFCC"/>
      </patternFill>
    </fill>
    <fill>
      <patternFill patternType="solid">
        <fgColor theme="0" tint="-0.14999847407452621"/>
        <bgColor rgb="FFFFFFCC"/>
      </patternFill>
    </fill>
    <fill>
      <patternFill patternType="solid">
        <fgColor rgb="FF00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6">
    <xf numFmtId="0" fontId="0" fillId="0" borderId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16" fillId="0" borderId="0" applyBorder="0" applyProtection="0"/>
    <xf numFmtId="0" fontId="9" fillId="0" borderId="0"/>
  </cellStyleXfs>
  <cellXfs count="401">
    <xf numFmtId="0" fontId="0" fillId="0" borderId="0" xfId="0"/>
    <xf numFmtId="0" fontId="1" fillId="0" borderId="0" xfId="0" applyFont="1"/>
    <xf numFmtId="0" fontId="1" fillId="0" borderId="5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0" borderId="0" xfId="0" applyFont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" fillId="0" borderId="12" xfId="0" applyFont="1" applyBorder="1"/>
    <xf numFmtId="0" fontId="1" fillId="0" borderId="13" xfId="0" applyFont="1" applyBorder="1"/>
    <xf numFmtId="0" fontId="1" fillId="0" borderId="15" xfId="0" applyFont="1" applyBorder="1"/>
    <xf numFmtId="0" fontId="1" fillId="0" borderId="19" xfId="0" applyFont="1" applyBorder="1"/>
    <xf numFmtId="0" fontId="1" fillId="3" borderId="6" xfId="0" applyFont="1" applyFill="1" applyBorder="1"/>
    <xf numFmtId="0" fontId="1" fillId="0" borderId="6" xfId="0" applyFont="1" applyBorder="1"/>
    <xf numFmtId="0" fontId="1" fillId="3" borderId="11" xfId="0" applyFont="1" applyFill="1" applyBorder="1" applyAlignment="1">
      <alignment horizontal="center" wrapText="1"/>
    </xf>
    <xf numFmtId="0" fontId="1" fillId="0" borderId="9" xfId="0" applyFont="1" applyBorder="1" applyAlignment="1">
      <alignment wrapText="1"/>
    </xf>
    <xf numFmtId="0" fontId="1" fillId="0" borderId="22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4" borderId="1" xfId="0" applyFont="1" applyFill="1" applyBorder="1" applyAlignment="1">
      <alignment wrapText="1"/>
    </xf>
    <xf numFmtId="0" fontId="1" fillId="0" borderId="11" xfId="0" applyFont="1" applyBorder="1" applyAlignment="1">
      <alignment wrapText="1"/>
    </xf>
    <xf numFmtId="0" fontId="4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wrapText="1"/>
    </xf>
    <xf numFmtId="49" fontId="1" fillId="0" borderId="1" xfId="0" applyNumberFormat="1" applyFont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7" fontId="1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10" borderId="0" xfId="0" applyNumberFormat="1" applyFont="1" applyFill="1" applyAlignment="1">
      <alignment horizontal="center"/>
    </xf>
    <xf numFmtId="49" fontId="1" fillId="8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5" borderId="1" xfId="0" applyFont="1" applyFill="1" applyBorder="1" applyAlignment="1">
      <alignment horizontal="center"/>
    </xf>
    <xf numFmtId="0" fontId="1" fillId="0" borderId="0" xfId="0" applyFont="1" applyAlignment="1">
      <alignment wrapText="1"/>
    </xf>
    <xf numFmtId="9" fontId="1" fillId="0" borderId="0" xfId="0" applyNumberFormat="1" applyFont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4" xfId="0" applyFont="1" applyBorder="1" applyAlignment="1">
      <alignment vertical="center"/>
    </xf>
    <xf numFmtId="0" fontId="10" fillId="2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/>
    </xf>
    <xf numFmtId="0" fontId="1" fillId="11" borderId="6" xfId="0" applyFont="1" applyFill="1" applyBorder="1"/>
    <xf numFmtId="0" fontId="1" fillId="11" borderId="1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left" vertical="center"/>
    </xf>
    <xf numFmtId="0" fontId="10" fillId="0" borderId="19" xfId="0" applyFont="1" applyBorder="1" applyAlignment="1">
      <alignment vertical="center"/>
    </xf>
    <xf numFmtId="0" fontId="1" fillId="0" borderId="19" xfId="0" applyFont="1" applyBorder="1" applyAlignment="1">
      <alignment horizontal="center"/>
    </xf>
    <xf numFmtId="9" fontId="1" fillId="0" borderId="6" xfId="2" applyFont="1" applyBorder="1"/>
    <xf numFmtId="9" fontId="1" fillId="0" borderId="0" xfId="2" applyFont="1"/>
    <xf numFmtId="0" fontId="3" fillId="0" borderId="1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22" fillId="16" borderId="10" xfId="0" applyFont="1" applyFill="1" applyBorder="1" applyAlignment="1">
      <alignment horizontal="center"/>
    </xf>
    <xf numFmtId="0" fontId="23" fillId="17" borderId="10" xfId="0" applyFont="1" applyFill="1" applyBorder="1" applyAlignment="1">
      <alignment horizontal="center"/>
    </xf>
    <xf numFmtId="0" fontId="22" fillId="16" borderId="1" xfId="0" applyFont="1" applyFill="1" applyBorder="1" applyAlignment="1">
      <alignment horizontal="center"/>
    </xf>
    <xf numFmtId="0" fontId="23" fillId="17" borderId="1" xfId="0" applyFont="1" applyFill="1" applyBorder="1" applyAlignment="1">
      <alignment horizontal="center"/>
    </xf>
    <xf numFmtId="0" fontId="24" fillId="13" borderId="0" xfId="0" applyFont="1" applyFill="1"/>
    <xf numFmtId="0" fontId="25" fillId="18" borderId="1" xfId="0" applyFont="1" applyFill="1" applyBorder="1" applyAlignment="1">
      <alignment horizontal="center"/>
    </xf>
    <xf numFmtId="0" fontId="26" fillId="13" borderId="0" xfId="0" applyFont="1" applyFill="1" applyAlignment="1">
      <alignment horizontal="center"/>
    </xf>
    <xf numFmtId="9" fontId="26" fillId="13" borderId="0" xfId="2" applyFont="1" applyFill="1" applyAlignment="1">
      <alignment horizontal="center"/>
    </xf>
    <xf numFmtId="2" fontId="1" fillId="0" borderId="0" xfId="0" applyNumberFormat="1" applyFont="1"/>
    <xf numFmtId="1" fontId="27" fillId="0" borderId="0" xfId="0" applyNumberFormat="1" applyFont="1"/>
    <xf numFmtId="9" fontId="25" fillId="18" borderId="1" xfId="2" applyFont="1" applyFill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5" fillId="0" borderId="0" xfId="0" applyFont="1" applyAlignment="1">
      <alignment horizontal="center"/>
    </xf>
    <xf numFmtId="164" fontId="25" fillId="0" borderId="0" xfId="0" applyNumberFormat="1" applyFont="1" applyAlignment="1">
      <alignment horizontal="center"/>
    </xf>
    <xf numFmtId="0" fontId="28" fillId="15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64" fontId="1" fillId="0" borderId="1" xfId="1" applyNumberFormat="1" applyFont="1" applyBorder="1"/>
    <xf numFmtId="165" fontId="1" fillId="0" borderId="1" xfId="0" applyNumberFormat="1" applyFont="1" applyBorder="1" applyAlignment="1">
      <alignment horizontal="center"/>
    </xf>
    <xf numFmtId="0" fontId="30" fillId="15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/>
    </xf>
    <xf numFmtId="44" fontId="19" fillId="19" borderId="1" xfId="1" applyFont="1" applyFill="1" applyBorder="1" applyAlignment="1">
      <alignment horizontal="center" vertical="center"/>
    </xf>
    <xf numFmtId="0" fontId="32" fillId="15" borderId="1" xfId="0" applyFont="1" applyFill="1" applyBorder="1"/>
    <xf numFmtId="0" fontId="33" fillId="15" borderId="1" xfId="0" applyFont="1" applyFill="1" applyBorder="1"/>
    <xf numFmtId="0" fontId="34" fillId="15" borderId="1" xfId="0" applyFont="1" applyFill="1" applyBorder="1"/>
    <xf numFmtId="0" fontId="35" fillId="15" borderId="1" xfId="0" applyFont="1" applyFill="1" applyBorder="1" applyAlignment="1">
      <alignment horizontal="center" wrapText="1"/>
    </xf>
    <xf numFmtId="167" fontId="35" fillId="15" borderId="1" xfId="4" applyNumberFormat="1" applyFont="1" applyFill="1" applyBorder="1" applyAlignment="1">
      <alignment wrapText="1"/>
    </xf>
    <xf numFmtId="0" fontId="36" fillId="0" borderId="1" xfId="0" applyFont="1" applyBorder="1"/>
    <xf numFmtId="0" fontId="37" fillId="0" borderId="1" xfId="0" applyFont="1" applyBorder="1"/>
    <xf numFmtId="168" fontId="38" fillId="0" borderId="1" xfId="3" applyNumberFormat="1" applyFont="1" applyFill="1" applyBorder="1" applyAlignment="1"/>
    <xf numFmtId="44" fontId="24" fillId="13" borderId="0" xfId="1" applyFont="1" applyFill="1"/>
    <xf numFmtId="44" fontId="24" fillId="13" borderId="0" xfId="0" applyNumberFormat="1" applyFont="1" applyFill="1"/>
    <xf numFmtId="168" fontId="37" fillId="0" borderId="1" xfId="3" applyNumberFormat="1" applyFont="1" applyFill="1" applyBorder="1" applyAlignment="1"/>
    <xf numFmtId="168" fontId="37" fillId="20" borderId="1" xfId="3" applyNumberFormat="1" applyFont="1" applyFill="1" applyBorder="1" applyAlignment="1"/>
    <xf numFmtId="44" fontId="37" fillId="20" borderId="1" xfId="1" applyFont="1" applyFill="1" applyBorder="1"/>
    <xf numFmtId="9" fontId="38" fillId="0" borderId="1" xfId="0" applyNumberFormat="1" applyFont="1" applyBorder="1"/>
    <xf numFmtId="0" fontId="36" fillId="0" borderId="1" xfId="0" applyFont="1" applyBorder="1" applyAlignment="1">
      <alignment wrapText="1"/>
    </xf>
    <xf numFmtId="169" fontId="38" fillId="0" borderId="1" xfId="3" applyNumberFormat="1" applyFont="1" applyFill="1" applyBorder="1" applyAlignment="1">
      <alignment vertical="center"/>
    </xf>
    <xf numFmtId="0" fontId="40" fillId="13" borderId="1" xfId="0" applyFont="1" applyFill="1" applyBorder="1"/>
    <xf numFmtId="0" fontId="40" fillId="0" borderId="1" xfId="0" applyFont="1" applyBorder="1"/>
    <xf numFmtId="164" fontId="40" fillId="19" borderId="1" xfId="1" applyNumberFormat="1" applyFont="1" applyFill="1" applyBorder="1"/>
    <xf numFmtId="168" fontId="40" fillId="13" borderId="0" xfId="0" applyNumberFormat="1" applyFont="1" applyFill="1"/>
    <xf numFmtId="0" fontId="26" fillId="13" borderId="1" xfId="0" applyFont="1" applyFill="1" applyBorder="1"/>
    <xf numFmtId="0" fontId="24" fillId="13" borderId="1" xfId="0" applyFont="1" applyFill="1" applyBorder="1"/>
    <xf numFmtId="164" fontId="24" fillId="20" borderId="1" xfId="1" applyNumberFormat="1" applyFont="1" applyFill="1" applyBorder="1" applyAlignment="1"/>
    <xf numFmtId="170" fontId="38" fillId="0" borderId="1" xfId="3" applyNumberFormat="1" applyFont="1" applyFill="1" applyBorder="1" applyAlignment="1"/>
    <xf numFmtId="0" fontId="35" fillId="21" borderId="1" xfId="0" applyFont="1" applyFill="1" applyBorder="1"/>
    <xf numFmtId="0" fontId="33" fillId="21" borderId="1" xfId="0" applyFont="1" applyFill="1" applyBorder="1"/>
    <xf numFmtId="164" fontId="43" fillId="22" borderId="1" xfId="1" applyNumberFormat="1" applyFont="1" applyFill="1" applyBorder="1" applyAlignment="1"/>
    <xf numFmtId="0" fontId="32" fillId="23" borderId="1" xfId="0" applyFont="1" applyFill="1" applyBorder="1" applyAlignment="1">
      <alignment vertical="center"/>
    </xf>
    <xf numFmtId="0" fontId="33" fillId="23" borderId="1" xfId="0" applyFont="1" applyFill="1" applyBorder="1"/>
    <xf numFmtId="0" fontId="35" fillId="15" borderId="1" xfId="0" applyFont="1" applyFill="1" applyBorder="1" applyAlignment="1">
      <alignment horizontal="center" vertical="center" wrapText="1"/>
    </xf>
    <xf numFmtId="171" fontId="35" fillId="15" borderId="1" xfId="4" applyNumberFormat="1" applyFont="1" applyFill="1" applyBorder="1" applyAlignment="1">
      <alignment horizontal="center" vertical="center" wrapText="1"/>
    </xf>
    <xf numFmtId="170" fontId="1" fillId="0" borderId="0" xfId="0" applyNumberFormat="1" applyFont="1"/>
    <xf numFmtId="0" fontId="22" fillId="13" borderId="1" xfId="0" applyFont="1" applyFill="1" applyBorder="1" applyAlignment="1">
      <alignment horizontal="center" vertical="center" wrapText="1"/>
    </xf>
    <xf numFmtId="0" fontId="45" fillId="1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6" fillId="13" borderId="1" xfId="0" applyFont="1" applyFill="1" applyBorder="1" applyAlignment="1">
      <alignment vertical="center" wrapText="1"/>
    </xf>
    <xf numFmtId="0" fontId="26" fillId="20" borderId="1" xfId="0" applyFont="1" applyFill="1" applyBorder="1" applyAlignment="1">
      <alignment horizontal="center" vertical="center"/>
    </xf>
    <xf numFmtId="1" fontId="26" fillId="20" borderId="1" xfId="0" applyNumberFormat="1" applyFont="1" applyFill="1" applyBorder="1" applyAlignment="1">
      <alignment horizontal="center" vertical="center"/>
    </xf>
    <xf numFmtId="0" fontId="26" fillId="20" borderId="1" xfId="0" applyFont="1" applyFill="1" applyBorder="1" applyAlignment="1">
      <alignment horizontal="center" vertical="center" wrapText="1"/>
    </xf>
    <xf numFmtId="164" fontId="26" fillId="20" borderId="1" xfId="1" applyNumberFormat="1" applyFont="1" applyFill="1" applyBorder="1" applyAlignment="1">
      <alignment vertical="center"/>
    </xf>
    <xf numFmtId="0" fontId="47" fillId="6" borderId="1" xfId="0" applyFont="1" applyFill="1" applyBorder="1" applyAlignment="1">
      <alignment horizontal="center" vertical="center"/>
    </xf>
    <xf numFmtId="170" fontId="22" fillId="24" borderId="1" xfId="0" applyNumberFormat="1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right"/>
    </xf>
    <xf numFmtId="0" fontId="22" fillId="13" borderId="1" xfId="0" applyFont="1" applyFill="1" applyBorder="1" applyAlignment="1">
      <alignment horizontal="center" vertical="center"/>
    </xf>
    <xf numFmtId="168" fontId="45" fillId="13" borderId="1" xfId="3" applyNumberFormat="1" applyFont="1" applyFill="1" applyBorder="1" applyAlignment="1">
      <alignment horizontal="center" vertical="center" wrapText="1"/>
    </xf>
    <xf numFmtId="170" fontId="22" fillId="0" borderId="1" xfId="0" applyNumberFormat="1" applyFont="1" applyBorder="1" applyAlignment="1">
      <alignment horizontal="center" vertical="center" wrapText="1"/>
    </xf>
    <xf numFmtId="0" fontId="26" fillId="25" borderId="1" xfId="0" applyFont="1" applyFill="1" applyBorder="1" applyAlignment="1">
      <alignment horizontal="center"/>
    </xf>
    <xf numFmtId="0" fontId="26" fillId="19" borderId="1" xfId="0" applyFont="1" applyFill="1" applyBorder="1" applyAlignment="1">
      <alignment horizontal="center"/>
    </xf>
    <xf numFmtId="0" fontId="26" fillId="26" borderId="1" xfId="0" applyFont="1" applyFill="1" applyBorder="1" applyAlignment="1">
      <alignment horizontal="center"/>
    </xf>
    <xf numFmtId="9" fontId="47" fillId="26" borderId="1" xfId="0" applyNumberFormat="1" applyFont="1" applyFill="1" applyBorder="1" applyAlignment="1">
      <alignment horizontal="center"/>
    </xf>
    <xf numFmtId="164" fontId="22" fillId="24" borderId="1" xfId="1" applyNumberFormat="1" applyFont="1" applyFill="1" applyBorder="1" applyAlignment="1">
      <alignment horizontal="center"/>
    </xf>
    <xf numFmtId="0" fontId="30" fillId="21" borderId="1" xfId="0" applyFont="1" applyFill="1" applyBorder="1" applyAlignment="1">
      <alignment horizontal="center"/>
    </xf>
    <xf numFmtId="0" fontId="24" fillId="0" borderId="0" xfId="0" applyFont="1"/>
    <xf numFmtId="168" fontId="24" fillId="0" borderId="0" xfId="0" applyNumberFormat="1" applyFont="1"/>
    <xf numFmtId="0" fontId="48" fillId="23" borderId="1" xfId="0" applyFont="1" applyFill="1" applyBorder="1" applyAlignment="1">
      <alignment vertical="center"/>
    </xf>
    <xf numFmtId="0" fontId="49" fillId="23" borderId="1" xfId="0" applyFont="1" applyFill="1" applyBorder="1"/>
    <xf numFmtId="0" fontId="50" fillId="23" borderId="1" xfId="0" applyFont="1" applyFill="1" applyBorder="1"/>
    <xf numFmtId="172" fontId="51" fillId="23" borderId="1" xfId="0" applyNumberFormat="1" applyFont="1" applyFill="1" applyBorder="1" applyAlignment="1">
      <alignment vertical="center" wrapText="1"/>
    </xf>
    <xf numFmtId="172" fontId="52" fillId="23" borderId="1" xfId="0" applyNumberFormat="1" applyFont="1" applyFill="1" applyBorder="1" applyAlignment="1">
      <alignment vertical="center" wrapText="1"/>
    </xf>
    <xf numFmtId="0" fontId="53" fillId="23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44" fontId="10" fillId="20" borderId="1" xfId="1" applyFont="1" applyFill="1" applyBorder="1" applyAlignment="1">
      <alignment horizontal="center" vertical="center"/>
    </xf>
    <xf numFmtId="9" fontId="10" fillId="0" borderId="1" xfId="2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0" fontId="55" fillId="3" borderId="1" xfId="0" applyFont="1" applyFill="1" applyBorder="1" applyAlignment="1">
      <alignment horizontal="center" vertical="center"/>
    </xf>
    <xf numFmtId="164" fontId="55" fillId="0" borderId="1" xfId="1" applyNumberFormat="1" applyFont="1" applyBorder="1" applyAlignment="1">
      <alignment horizontal="center" vertical="center"/>
    </xf>
    <xf numFmtId="9" fontId="55" fillId="0" borderId="1" xfId="2" applyFont="1" applyBorder="1" applyAlignment="1">
      <alignment horizontal="center" vertical="center"/>
    </xf>
    <xf numFmtId="0" fontId="56" fillId="23" borderId="1" xfId="0" applyFont="1" applyFill="1" applyBorder="1" applyAlignment="1">
      <alignment horizontal="center" vertical="center"/>
    </xf>
    <xf numFmtId="44" fontId="57" fillId="27" borderId="1" xfId="1" applyFont="1" applyFill="1" applyBorder="1" applyAlignment="1">
      <alignment horizontal="center" vertical="center"/>
    </xf>
    <xf numFmtId="9" fontId="56" fillId="23" borderId="1" xfId="2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8" fillId="2" borderId="26" xfId="0" applyFont="1" applyFill="1" applyBorder="1" applyAlignment="1">
      <alignment horizontal="left" vertical="center"/>
    </xf>
    <xf numFmtId="0" fontId="8" fillId="2" borderId="16" xfId="0" applyFont="1" applyFill="1" applyBorder="1"/>
    <xf numFmtId="0" fontId="8" fillId="2" borderId="1" xfId="0" applyFont="1" applyFill="1" applyBorder="1"/>
    <xf numFmtId="0" fontId="4" fillId="0" borderId="14" xfId="0" applyFont="1" applyBorder="1" applyAlignment="1">
      <alignment horizontal="center" wrapText="1"/>
    </xf>
    <xf numFmtId="14" fontId="4" fillId="0" borderId="7" xfId="0" applyNumberFormat="1" applyFont="1" applyBorder="1" applyAlignment="1">
      <alignment horizontal="center" wrapText="1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/>
    </xf>
    <xf numFmtId="0" fontId="25" fillId="2" borderId="16" xfId="0" applyFont="1" applyFill="1" applyBorder="1" applyAlignment="1">
      <alignment horizontal="left"/>
    </xf>
    <xf numFmtId="0" fontId="10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4" fillId="0" borderId="32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2" borderId="16" xfId="0" applyFont="1" applyFill="1" applyBorder="1" applyAlignment="1">
      <alignment horizontal="left" vertical="top"/>
    </xf>
    <xf numFmtId="0" fontId="4" fillId="0" borderId="17" xfId="0" applyFont="1" applyBorder="1" applyAlignment="1" applyProtection="1">
      <alignment horizontal="center"/>
      <protection locked="0"/>
    </xf>
    <xf numFmtId="9" fontId="4" fillId="0" borderId="6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0" fillId="3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" fillId="0" borderId="24" xfId="0" applyFont="1" applyBorder="1"/>
    <xf numFmtId="0" fontId="1" fillId="0" borderId="24" xfId="0" applyFont="1" applyBorder="1" applyAlignment="1">
      <alignment horizontal="center" vertical="center"/>
    </xf>
    <xf numFmtId="0" fontId="10" fillId="0" borderId="27" xfId="0" applyFont="1" applyBorder="1" applyAlignment="1">
      <alignment vertical="center"/>
    </xf>
    <xf numFmtId="0" fontId="1" fillId="0" borderId="4" xfId="0" applyFont="1" applyBorder="1"/>
    <xf numFmtId="0" fontId="1" fillId="0" borderId="27" xfId="0" applyFont="1" applyBorder="1"/>
    <xf numFmtId="0" fontId="10" fillId="0" borderId="34" xfId="0" applyFont="1" applyBorder="1" applyAlignment="1">
      <alignment vertical="center"/>
    </xf>
    <xf numFmtId="165" fontId="26" fillId="20" borderId="1" xfId="0" applyNumberFormat="1" applyFont="1" applyFill="1" applyBorder="1" applyAlignment="1">
      <alignment horizontal="center" vertical="center"/>
    </xf>
    <xf numFmtId="0" fontId="4" fillId="0" borderId="16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14" fontId="4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4" fillId="2" borderId="1" xfId="0" applyFont="1" applyFill="1" applyBorder="1" applyAlignment="1">
      <alignment horizontal="left" vertical="top"/>
    </xf>
    <xf numFmtId="0" fontId="10" fillId="0" borderId="18" xfId="0" applyFont="1" applyBorder="1"/>
    <xf numFmtId="0" fontId="10" fillId="0" borderId="0" xfId="0" applyFont="1"/>
    <xf numFmtId="0" fontId="10" fillId="0" borderId="35" xfId="0" applyFont="1" applyBorder="1"/>
    <xf numFmtId="0" fontId="20" fillId="0" borderId="20" xfId="0" applyFont="1" applyBorder="1"/>
    <xf numFmtId="0" fontId="20" fillId="0" borderId="23" xfId="0" applyFont="1" applyBorder="1"/>
    <xf numFmtId="0" fontId="20" fillId="0" borderId="3" xfId="0" applyFont="1" applyBorder="1"/>
    <xf numFmtId="0" fontId="20" fillId="0" borderId="18" xfId="0" applyFont="1" applyBorder="1"/>
    <xf numFmtId="0" fontId="20" fillId="0" borderId="0" xfId="0" applyFont="1"/>
    <xf numFmtId="0" fontId="20" fillId="0" borderId="35" xfId="0" applyFont="1" applyBorder="1"/>
    <xf numFmtId="164" fontId="10" fillId="0" borderId="1" xfId="1" applyNumberFormat="1" applyFont="1" applyBorder="1"/>
    <xf numFmtId="0" fontId="10" fillId="6" borderId="1" xfId="0" applyFont="1" applyFill="1" applyBorder="1" applyAlignment="1">
      <alignment horizontal="center" vertical="center"/>
    </xf>
    <xf numFmtId="164" fontId="58" fillId="0" borderId="1" xfId="1" applyNumberFormat="1" applyFont="1" applyBorder="1" applyAlignment="1">
      <alignment horizontal="center" vertical="center"/>
    </xf>
    <xf numFmtId="0" fontId="53" fillId="14" borderId="1" xfId="0" applyFont="1" applyFill="1" applyBorder="1" applyAlignment="1">
      <alignment horizontal="center" vertical="center"/>
    </xf>
    <xf numFmtId="44" fontId="10" fillId="0" borderId="1" xfId="1" applyFont="1" applyBorder="1" applyAlignment="1">
      <alignment horizontal="center" vertical="center"/>
    </xf>
    <xf numFmtId="164" fontId="10" fillId="0" borderId="1" xfId="1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44" fontId="58" fillId="0" borderId="1" xfId="1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 applyProtection="1">
      <alignment horizontal="center"/>
      <protection locked="0"/>
    </xf>
    <xf numFmtId="0" fontId="1" fillId="0" borderId="6" xfId="0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1" fillId="0" borderId="0" xfId="0" applyNumberFormat="1" applyFont="1"/>
    <xf numFmtId="164" fontId="1" fillId="0" borderId="1" xfId="1" applyNumberFormat="1" applyFont="1" applyBorder="1" applyAlignment="1">
      <alignment horizontal="center"/>
    </xf>
    <xf numFmtId="0" fontId="59" fillId="29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59" fillId="6" borderId="1" xfId="0" applyFont="1" applyFill="1" applyBorder="1" applyAlignment="1">
      <alignment horizontal="center"/>
    </xf>
    <xf numFmtId="0" fontId="8" fillId="2" borderId="6" xfId="0" applyFont="1" applyFill="1" applyBorder="1"/>
    <xf numFmtId="44" fontId="1" fillId="0" borderId="1" xfId="0" applyNumberFormat="1" applyFont="1" applyBorder="1"/>
    <xf numFmtId="9" fontId="1" fillId="0" borderId="1" xfId="2" applyFont="1" applyBorder="1"/>
    <xf numFmtId="164" fontId="1" fillId="0" borderId="1" xfId="0" applyNumberFormat="1" applyFont="1" applyBorder="1"/>
    <xf numFmtId="44" fontId="19" fillId="19" borderId="0" xfId="1" applyFont="1" applyFill="1" applyBorder="1" applyAlignment="1">
      <alignment horizontal="center" vertical="center"/>
    </xf>
    <xf numFmtId="167" fontId="35" fillId="15" borderId="1" xfId="4" applyNumberFormat="1" applyFont="1" applyFill="1" applyBorder="1" applyAlignment="1">
      <alignment horizontal="center" vertical="center" wrapText="1"/>
    </xf>
    <xf numFmtId="0" fontId="59" fillId="0" borderId="0" xfId="0" applyFont="1" applyAlignment="1">
      <alignment wrapText="1"/>
    </xf>
    <xf numFmtId="0" fontId="62" fillId="0" borderId="0" xfId="0" applyFont="1" applyAlignment="1">
      <alignment vertical="center" wrapText="1"/>
    </xf>
    <xf numFmtId="0" fontId="8" fillId="3" borderId="7" xfId="0" applyFont="1" applyFill="1" applyBorder="1"/>
    <xf numFmtId="44" fontId="1" fillId="0" borderId="0" xfId="0" applyNumberFormat="1" applyFont="1"/>
    <xf numFmtId="0" fontId="1" fillId="0" borderId="1" xfId="1" applyNumberFormat="1" applyFont="1" applyBorder="1"/>
    <xf numFmtId="164" fontId="58" fillId="0" borderId="1" xfId="1" applyNumberFormat="1" applyFont="1" applyFill="1" applyBorder="1" applyAlignment="1">
      <alignment horizontal="center" vertical="center"/>
    </xf>
    <xf numFmtId="173" fontId="22" fillId="24" borderId="1" xfId="0" applyNumberFormat="1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/>
    </xf>
    <xf numFmtId="0" fontId="4" fillId="0" borderId="38" xfId="0" applyFont="1" applyBorder="1" applyAlignment="1" applyProtection="1">
      <alignment horizontal="center"/>
      <protection locked="0"/>
    </xf>
    <xf numFmtId="0" fontId="63" fillId="0" borderId="0" xfId="0" applyFont="1" applyAlignment="1">
      <alignment horizontal="center" vertical="center"/>
    </xf>
    <xf numFmtId="44" fontId="1" fillId="0" borderId="0" xfId="0" applyNumberFormat="1" applyFont="1" applyAlignment="1">
      <alignment wrapText="1"/>
    </xf>
    <xf numFmtId="164" fontId="10" fillId="0" borderId="1" xfId="1" applyNumberFormat="1" applyFont="1" applyBorder="1" applyAlignment="1">
      <alignment horizontal="left" vertical="center"/>
    </xf>
    <xf numFmtId="0" fontId="64" fillId="0" borderId="0" xfId="0" applyFont="1"/>
    <xf numFmtId="0" fontId="64" fillId="0" borderId="1" xfId="0" applyFont="1" applyBorder="1"/>
    <xf numFmtId="0" fontId="64" fillId="0" borderId="1" xfId="0" applyFont="1" applyBorder="1" applyAlignment="1">
      <alignment horizontal="center"/>
    </xf>
    <xf numFmtId="0" fontId="64" fillId="2" borderId="1" xfId="0" applyFont="1" applyFill="1" applyBorder="1"/>
    <xf numFmtId="0" fontId="64" fillId="2" borderId="1" xfId="0" applyFont="1" applyFill="1" applyBorder="1" applyAlignment="1">
      <alignment horizontal="center"/>
    </xf>
    <xf numFmtId="164" fontId="59" fillId="2" borderId="1" xfId="1" applyNumberFormat="1" applyFont="1" applyFill="1" applyBorder="1"/>
    <xf numFmtId="164" fontId="64" fillId="0" borderId="1" xfId="1" applyNumberFormat="1" applyFont="1" applyBorder="1"/>
    <xf numFmtId="0" fontId="64" fillId="8" borderId="1" xfId="0" applyFont="1" applyFill="1" applyBorder="1"/>
    <xf numFmtId="0" fontId="64" fillId="30" borderId="1" xfId="0" applyFont="1" applyFill="1" applyBorder="1"/>
    <xf numFmtId="164" fontId="59" fillId="30" borderId="1" xfId="1" applyNumberFormat="1" applyFont="1" applyFill="1" applyBorder="1" applyAlignment="1">
      <alignment horizontal="center"/>
    </xf>
    <xf numFmtId="164" fontId="59" fillId="30" borderId="1" xfId="0" applyNumberFormat="1" applyFont="1" applyFill="1" applyBorder="1"/>
    <xf numFmtId="164" fontId="64" fillId="0" borderId="0" xfId="0" applyNumberFormat="1" applyFont="1"/>
    <xf numFmtId="0" fontId="59" fillId="0" borderId="1" xfId="0" applyFont="1" applyBorder="1" applyProtection="1">
      <protection locked="0"/>
    </xf>
    <xf numFmtId="164" fontId="59" fillId="0" borderId="1" xfId="1" applyNumberFormat="1" applyFont="1" applyBorder="1" applyProtection="1">
      <protection locked="0"/>
    </xf>
    <xf numFmtId="9" fontId="59" fillId="0" borderId="1" xfId="0" applyNumberFormat="1" applyFont="1" applyBorder="1" applyProtection="1">
      <protection locked="0"/>
    </xf>
    <xf numFmtId="164" fontId="1" fillId="0" borderId="1" xfId="1" applyNumberFormat="1" applyFont="1" applyBorder="1" applyAlignment="1">
      <alignment horizontal="right"/>
    </xf>
    <xf numFmtId="0" fontId="10" fillId="31" borderId="1" xfId="0" applyFont="1" applyFill="1" applyBorder="1" applyAlignment="1">
      <alignment horizontal="center" vertical="center"/>
    </xf>
    <xf numFmtId="0" fontId="59" fillId="31" borderId="1" xfId="0" applyFont="1" applyFill="1" applyBorder="1" applyAlignment="1">
      <alignment horizontal="center"/>
    </xf>
    <xf numFmtId="0" fontId="1" fillId="31" borderId="1" xfId="0" applyFont="1" applyFill="1" applyBorder="1"/>
    <xf numFmtId="0" fontId="10" fillId="31" borderId="1" xfId="0" applyFont="1" applyFill="1" applyBorder="1"/>
    <xf numFmtId="0" fontId="59" fillId="31" borderId="1" xfId="0" applyFont="1" applyFill="1" applyBorder="1"/>
    <xf numFmtId="0" fontId="10" fillId="31" borderId="1" xfId="0" applyFont="1" applyFill="1" applyBorder="1" applyAlignment="1">
      <alignment horizontal="left" vertical="center"/>
    </xf>
    <xf numFmtId="0" fontId="20" fillId="31" borderId="1" xfId="0" applyFont="1" applyFill="1" applyBorder="1" applyAlignment="1">
      <alignment horizontal="center" vertical="center"/>
    </xf>
    <xf numFmtId="0" fontId="20" fillId="31" borderId="1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64" fillId="9" borderId="1" xfId="0" applyFont="1" applyFill="1" applyBorder="1"/>
    <xf numFmtId="164" fontId="59" fillId="9" borderId="1" xfId="0" applyNumberFormat="1" applyFont="1" applyFill="1" applyBorder="1"/>
    <xf numFmtId="0" fontId="0" fillId="0" borderId="1" xfId="0" applyBorder="1"/>
    <xf numFmtId="0" fontId="65" fillId="0" borderId="1" xfId="0" applyFont="1" applyBorder="1" applyAlignment="1">
      <alignment horizontal="left" vertical="center"/>
    </xf>
    <xf numFmtId="0" fontId="6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19" fillId="0" borderId="1" xfId="0" applyFont="1" applyBorder="1" applyAlignment="1">
      <alignment horizontal="left"/>
    </xf>
    <xf numFmtId="49" fontId="1" fillId="0" borderId="1" xfId="5" applyNumberFormat="1" applyFont="1" applyBorder="1" applyAlignment="1">
      <alignment horizontal="left" vertical="center"/>
    </xf>
    <xf numFmtId="0" fontId="1" fillId="0" borderId="1" xfId="5" applyFont="1" applyBorder="1" applyAlignment="1">
      <alignment horizontal="left"/>
    </xf>
    <xf numFmtId="0" fontId="6" fillId="7" borderId="1" xfId="0" applyFont="1" applyFill="1" applyBorder="1" applyAlignment="1">
      <alignment horizontal="left" vertical="center"/>
    </xf>
    <xf numFmtId="0" fontId="1" fillId="3" borderId="39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0" fillId="0" borderId="1" xfId="0" applyFont="1" applyBorder="1"/>
    <xf numFmtId="0" fontId="67" fillId="32" borderId="40" xfId="0" applyFont="1" applyFill="1" applyBorder="1" applyAlignment="1">
      <alignment horizontal="left" vertical="center" readingOrder="1"/>
    </xf>
    <xf numFmtId="0" fontId="68" fillId="0" borderId="1" xfId="0" applyFont="1" applyBorder="1" applyAlignment="1">
      <alignment horizontal="center" vertical="center"/>
    </xf>
    <xf numFmtId="0" fontId="68" fillId="7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67" fillId="32" borderId="0" xfId="0" applyFont="1" applyFill="1" applyAlignment="1">
      <alignment horizontal="left" vertical="center" readingOrder="1"/>
    </xf>
    <xf numFmtId="0" fontId="67" fillId="32" borderId="1" xfId="0" applyFont="1" applyFill="1" applyBorder="1" applyAlignment="1">
      <alignment horizontal="left" vertical="center" readingOrder="1"/>
    </xf>
    <xf numFmtId="0" fontId="0" fillId="0" borderId="1" xfId="0" applyBorder="1" applyAlignment="1">
      <alignment horizontal="center" vertical="center"/>
    </xf>
    <xf numFmtId="0" fontId="67" fillId="33" borderId="40" xfId="0" applyFont="1" applyFill="1" applyBorder="1" applyAlignment="1">
      <alignment horizontal="left" vertical="center" readingOrder="1"/>
    </xf>
    <xf numFmtId="0" fontId="68" fillId="0" borderId="1" xfId="0" applyFont="1" applyBorder="1" applyAlignment="1">
      <alignment horizontal="left" vertical="center"/>
    </xf>
    <xf numFmtId="0" fontId="67" fillId="33" borderId="0" xfId="0" applyFont="1" applyFill="1" applyAlignment="1">
      <alignment horizontal="left" vertical="center" readingOrder="1"/>
    </xf>
    <xf numFmtId="0" fontId="67" fillId="33" borderId="1" xfId="0" applyFont="1" applyFill="1" applyBorder="1" applyAlignment="1">
      <alignment horizontal="left" vertical="center" readingOrder="1"/>
    </xf>
    <xf numFmtId="0" fontId="67" fillId="32" borderId="6" xfId="0" applyFont="1" applyFill="1" applyBorder="1" applyAlignment="1">
      <alignment horizontal="left" vertical="center"/>
    </xf>
    <xf numFmtId="0" fontId="67" fillId="33" borderId="6" xfId="0" applyFont="1" applyFill="1" applyBorder="1" applyAlignment="1">
      <alignment horizontal="left" vertical="center"/>
    </xf>
    <xf numFmtId="0" fontId="67" fillId="33" borderId="2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horizontal="left" vertical="center"/>
    </xf>
    <xf numFmtId="0" fontId="67" fillId="32" borderId="1" xfId="0" applyFont="1" applyFill="1" applyBorder="1" applyAlignment="1">
      <alignment horizontal="left" vertical="center"/>
    </xf>
    <xf numFmtId="0" fontId="62" fillId="0" borderId="0" xfId="0" applyFont="1" applyAlignment="1">
      <alignment horizontal="center" vertical="center" wrapText="1"/>
    </xf>
    <xf numFmtId="0" fontId="6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64" fontId="12" fillId="28" borderId="1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59" fillId="0" borderId="24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61" fillId="0" borderId="0" xfId="0" applyFont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64" fontId="12" fillId="0" borderId="0" xfId="1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14" fontId="4" fillId="0" borderId="2" xfId="0" applyNumberFormat="1" applyFont="1" applyBorder="1" applyAlignment="1" applyProtection="1">
      <alignment horizontal="center" vertical="center"/>
      <protection locked="0"/>
    </xf>
    <xf numFmtId="14" fontId="4" fillId="0" borderId="23" xfId="0" applyNumberFormat="1" applyFont="1" applyBorder="1" applyAlignment="1" applyProtection="1">
      <alignment horizontal="center" vertical="center"/>
      <protection locked="0"/>
    </xf>
    <xf numFmtId="14" fontId="4" fillId="0" borderId="21" xfId="0" applyNumberFormat="1" applyFont="1" applyBorder="1" applyAlignment="1" applyProtection="1">
      <alignment horizontal="center" vertical="center"/>
      <protection locked="0"/>
    </xf>
    <xf numFmtId="164" fontId="12" fillId="8" borderId="1" xfId="1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164" fontId="13" fillId="0" borderId="0" xfId="1" applyNumberFormat="1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5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 wrapText="1"/>
    </xf>
    <xf numFmtId="0" fontId="14" fillId="0" borderId="17" xfId="0" applyFont="1" applyBorder="1" applyAlignment="1" applyProtection="1">
      <alignment horizontal="center" vertical="center" wrapText="1"/>
      <protection locked="0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31" xfId="0" applyFont="1" applyBorder="1" applyAlignment="1">
      <alignment horizont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wrapText="1"/>
    </xf>
    <xf numFmtId="0" fontId="5" fillId="0" borderId="37" xfId="0" applyFont="1" applyBorder="1" applyAlignment="1">
      <alignment horizontal="center" wrapText="1"/>
    </xf>
    <xf numFmtId="0" fontId="8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4" fillId="2" borderId="6" xfId="0" applyFont="1" applyFill="1" applyBorder="1" applyAlignment="1">
      <alignment horizontal="center" vertical="top"/>
    </xf>
    <xf numFmtId="0" fontId="4" fillId="2" borderId="8" xfId="0" applyFont="1" applyFill="1" applyBorder="1" applyAlignment="1">
      <alignment horizontal="center" vertical="top"/>
    </xf>
    <xf numFmtId="14" fontId="4" fillId="0" borderId="1" xfId="0" applyNumberFormat="1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0" borderId="17" xfId="0" applyFont="1" applyBorder="1" applyAlignment="1">
      <alignment horizontal="center" wrapText="1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1" fillId="0" borderId="3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14" fillId="0" borderId="33" xfId="0" applyFont="1" applyBorder="1" applyAlignment="1" applyProtection="1">
      <alignment horizontal="center" vertical="center" wrapText="1"/>
      <protection locked="0"/>
    </xf>
    <xf numFmtId="0" fontId="21" fillId="15" borderId="1" xfId="0" applyFont="1" applyFill="1" applyBorder="1" applyAlignment="1">
      <alignment horizontal="center" vertical="center"/>
    </xf>
    <xf numFmtId="0" fontId="35" fillId="21" borderId="1" xfId="0" applyFont="1" applyFill="1" applyBorder="1" applyAlignment="1">
      <alignment horizontal="center" vertical="center" wrapText="1"/>
    </xf>
    <xf numFmtId="0" fontId="53" fillId="2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5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14" borderId="8" xfId="0" applyFont="1" applyFill="1" applyBorder="1" applyAlignment="1">
      <alignment horizontal="center" vertical="center"/>
    </xf>
    <xf numFmtId="0" fontId="59" fillId="6" borderId="1" xfId="0" applyFont="1" applyFill="1" applyBorder="1" applyAlignment="1">
      <alignment horizontal="center"/>
    </xf>
    <xf numFmtId="0" fontId="8" fillId="0" borderId="27" xfId="0" applyFont="1" applyBorder="1" applyAlignment="1">
      <alignment horizontal="center"/>
    </xf>
  </cellXfs>
  <cellStyles count="6">
    <cellStyle name="Millares" xfId="3" builtinId="3"/>
    <cellStyle name="Moneda" xfId="1" builtinId="4"/>
    <cellStyle name="Normal" xfId="0" builtinId="0"/>
    <cellStyle name="Normal 3" xfId="5" xr:uid="{2E5CA1F3-18EA-4012-ABE8-1818C5A93909}"/>
    <cellStyle name="Porcentaje" xfId="2" builtinId="5"/>
    <cellStyle name="TableStyleLight1" xfId="4" xr:uid="{48BD0C3D-0F9E-4A41-89F8-4E0696F78F86}"/>
  </cellStyles>
  <dxfs count="99"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914846</xdr:colOff>
      <xdr:row>0</xdr:row>
      <xdr:rowOff>169894</xdr:rowOff>
    </xdr:from>
    <xdr:to>
      <xdr:col>1</xdr:col>
      <xdr:colOff>465332</xdr:colOff>
      <xdr:row>1</xdr:row>
      <xdr:rowOff>145132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914846" y="169894"/>
          <a:ext cx="693520" cy="2226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124985</xdr:rowOff>
    </xdr:from>
    <xdr:to>
      <xdr:col>0</xdr:col>
      <xdr:colOff>863844</xdr:colOff>
      <xdr:row>1</xdr:row>
      <xdr:rowOff>28864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0" y="124985"/>
          <a:ext cx="867019" cy="151285"/>
        </a:xfrm>
        <a:prstGeom prst="rect">
          <a:avLst/>
        </a:prstGeom>
      </xdr:spPr>
    </xdr:pic>
    <xdr:clientData/>
  </xdr:twoCellAnchor>
  <xdr:oneCellAnchor>
    <xdr:from>
      <xdr:col>0</xdr:col>
      <xdr:colOff>1190583</xdr:colOff>
      <xdr:row>33</xdr:row>
      <xdr:rowOff>44603</xdr:rowOff>
    </xdr:from>
    <xdr:ext cx="703533" cy="226063"/>
    <xdr:pic>
      <xdr:nvPicPr>
        <xdr:cNvPr id="4" name="Imagen 3">
          <a:extLst>
            <a:ext uri="{FF2B5EF4-FFF2-40B4-BE49-F238E27FC236}">
              <a16:creationId xmlns:a16="http://schemas.microsoft.com/office/drawing/2014/main" id="{CBB31D26-DD7A-4A09-87C0-7BF1FAA779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4777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33</xdr:row>
      <xdr:rowOff>106912</xdr:rowOff>
    </xdr:from>
    <xdr:ext cx="961046" cy="170557"/>
    <xdr:pic>
      <xdr:nvPicPr>
        <xdr:cNvPr id="5" name="Imagen 4">
          <a:extLst>
            <a:ext uri="{FF2B5EF4-FFF2-40B4-BE49-F238E27FC236}">
              <a16:creationId xmlns:a16="http://schemas.microsoft.com/office/drawing/2014/main" id="{47DAAA12-DF0A-4551-9E4B-4535F99E8D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103737"/>
          <a:ext cx="961046" cy="170557"/>
        </a:xfrm>
        <a:prstGeom prst="rect">
          <a:avLst/>
        </a:prstGeom>
      </xdr:spPr>
    </xdr:pic>
    <xdr:clientData/>
  </xdr:oneCellAnchor>
  <xdr:oneCellAnchor>
    <xdr:from>
      <xdr:col>0</xdr:col>
      <xdr:colOff>1190583</xdr:colOff>
      <xdr:row>67</xdr:row>
      <xdr:rowOff>44603</xdr:rowOff>
    </xdr:from>
    <xdr:ext cx="703533" cy="226063"/>
    <xdr:pic>
      <xdr:nvPicPr>
        <xdr:cNvPr id="6" name="Imagen 5">
          <a:extLst>
            <a:ext uri="{FF2B5EF4-FFF2-40B4-BE49-F238E27FC236}">
              <a16:creationId xmlns:a16="http://schemas.microsoft.com/office/drawing/2014/main" id="{45A562A3-2710-47B9-8904-9EF3A6BD65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764872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67</xdr:row>
      <xdr:rowOff>106912</xdr:rowOff>
    </xdr:from>
    <xdr:ext cx="961046" cy="170557"/>
    <xdr:pic>
      <xdr:nvPicPr>
        <xdr:cNvPr id="7" name="Imagen 6">
          <a:extLst>
            <a:ext uri="{FF2B5EF4-FFF2-40B4-BE49-F238E27FC236}">
              <a16:creationId xmlns:a16="http://schemas.microsoft.com/office/drawing/2014/main" id="{4DD5BBBD-366A-49F1-9F76-FF2217B513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7704687"/>
          <a:ext cx="961046" cy="170557"/>
        </a:xfrm>
        <a:prstGeom prst="rect">
          <a:avLst/>
        </a:prstGeom>
      </xdr:spPr>
    </xdr:pic>
    <xdr:clientData/>
  </xdr:oneCellAnchor>
  <xdr:oneCellAnchor>
    <xdr:from>
      <xdr:col>0</xdr:col>
      <xdr:colOff>1190583</xdr:colOff>
      <xdr:row>101</xdr:row>
      <xdr:rowOff>44603</xdr:rowOff>
    </xdr:from>
    <xdr:ext cx="703533" cy="226063"/>
    <xdr:pic>
      <xdr:nvPicPr>
        <xdr:cNvPr id="8" name="Imagen 7">
          <a:extLst>
            <a:ext uri="{FF2B5EF4-FFF2-40B4-BE49-F238E27FC236}">
              <a16:creationId xmlns:a16="http://schemas.microsoft.com/office/drawing/2014/main" id="{018EF108-9266-4D02-BFA3-DA8B908CC7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794" b="89691" l="6048" r="89849">
                      <a14:foregroundMark x1="26350" y1="48969" x2="26350" y2="48969"/>
                      <a14:foregroundMark x1="6048" y1="48969" x2="6048" y2="48969"/>
                      <a14:foregroundMark x1="85313" y1="31443" x2="85313" y2="31443"/>
                    </a14:backgroundRemoval>
                  </a14:imgEffect>
                </a14:imgLayer>
              </a14:imgProps>
            </a:ext>
          </a:extLst>
        </a:blip>
        <a:srcRect b="22639"/>
        <a:stretch/>
      </xdr:blipFill>
      <xdr:spPr>
        <a:xfrm>
          <a:off x="1193758" y="7648728"/>
          <a:ext cx="703533" cy="226063"/>
        </a:xfrm>
        <a:prstGeom prst="rect">
          <a:avLst/>
        </a:prstGeom>
      </xdr:spPr>
    </xdr:pic>
    <xdr:clientData/>
  </xdr:oneCellAnchor>
  <xdr:oneCellAnchor>
    <xdr:from>
      <xdr:col>0</xdr:col>
      <xdr:colOff>161257</xdr:colOff>
      <xdr:row>101</xdr:row>
      <xdr:rowOff>106912</xdr:rowOff>
    </xdr:from>
    <xdr:ext cx="961046" cy="170557"/>
    <xdr:pic>
      <xdr:nvPicPr>
        <xdr:cNvPr id="9" name="Imagen 8">
          <a:extLst>
            <a:ext uri="{FF2B5EF4-FFF2-40B4-BE49-F238E27FC236}">
              <a16:creationId xmlns:a16="http://schemas.microsoft.com/office/drawing/2014/main" id="{C7CC1487-EC8D-43FF-8E7B-9F28446B6E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977" b="24420"/>
        <a:stretch/>
      </xdr:blipFill>
      <xdr:spPr>
        <a:xfrm>
          <a:off x="164432" y="7704687"/>
          <a:ext cx="961046" cy="17055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86</xdr:row>
      <xdr:rowOff>0</xdr:rowOff>
    </xdr:from>
    <xdr:ext cx="304800" cy="304800"/>
    <xdr:sp macro="" textlink="">
      <xdr:nvSpPr>
        <xdr:cNvPr id="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580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89</xdr:row>
      <xdr:rowOff>209550</xdr:rowOff>
    </xdr:from>
    <xdr:ext cx="304800" cy="304800"/>
    <xdr:sp macro="" textlink="">
      <xdr:nvSpPr>
        <xdr:cNvPr id="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67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94</xdr:row>
      <xdr:rowOff>0</xdr:rowOff>
    </xdr:from>
    <xdr:ext cx="304800" cy="304800"/>
    <xdr:sp macro="" textlink="">
      <xdr:nvSpPr>
        <xdr:cNvPr id="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758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105</xdr:row>
      <xdr:rowOff>0</xdr:rowOff>
    </xdr:from>
    <xdr:ext cx="304800" cy="304800"/>
    <xdr:sp macro="" textlink="">
      <xdr:nvSpPr>
        <xdr:cNvPr id="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5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120</xdr:row>
      <xdr:rowOff>0</xdr:rowOff>
    </xdr:from>
    <xdr:ext cx="304800" cy="304800"/>
    <xdr:sp macro="" textlink="">
      <xdr:nvSpPr>
        <xdr:cNvPr id="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21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118</xdr:row>
      <xdr:rowOff>209550</xdr:rowOff>
    </xdr:from>
    <xdr:ext cx="304800" cy="304800"/>
    <xdr:sp macro="" textlink="">
      <xdr:nvSpPr>
        <xdr:cNvPr id="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03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125</xdr:row>
      <xdr:rowOff>0</xdr:rowOff>
    </xdr:from>
    <xdr:ext cx="304800" cy="304800"/>
    <xdr:sp macro="" textlink="">
      <xdr:nvSpPr>
        <xdr:cNvPr id="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139</xdr:row>
      <xdr:rowOff>0</xdr:rowOff>
    </xdr:from>
    <xdr:ext cx="304800" cy="304800"/>
    <xdr:sp macro="" textlink="">
      <xdr:nvSpPr>
        <xdr:cNvPr id="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149</xdr:row>
      <xdr:rowOff>0</xdr:rowOff>
    </xdr:from>
    <xdr:ext cx="304800" cy="304800"/>
    <xdr:sp macro="" textlink="">
      <xdr:nvSpPr>
        <xdr:cNvPr id="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8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158</xdr:row>
      <xdr:rowOff>0</xdr:rowOff>
    </xdr:from>
    <xdr:ext cx="304800" cy="304800"/>
    <xdr:sp macro="" textlink="">
      <xdr:nvSpPr>
        <xdr:cNvPr id="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115</xdr:row>
      <xdr:rowOff>0</xdr:rowOff>
    </xdr:from>
    <xdr:ext cx="304800" cy="304800"/>
    <xdr:sp macro="" textlink="">
      <xdr:nvSpPr>
        <xdr:cNvPr id="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3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118</xdr:row>
      <xdr:rowOff>209550</xdr:rowOff>
    </xdr:from>
    <xdr:ext cx="304800" cy="304800"/>
    <xdr:sp macro="" textlink="">
      <xdr:nvSpPr>
        <xdr:cNvPr id="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03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125</xdr:row>
      <xdr:rowOff>0</xdr:rowOff>
    </xdr:from>
    <xdr:ext cx="304800" cy="304800"/>
    <xdr:sp macro="" textlink="">
      <xdr:nvSpPr>
        <xdr:cNvPr id="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2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139</xdr:row>
      <xdr:rowOff>0</xdr:rowOff>
    </xdr:from>
    <xdr:ext cx="304800" cy="304800"/>
    <xdr:sp macro="" textlink="">
      <xdr:nvSpPr>
        <xdr:cNvPr id="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57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149</xdr:row>
      <xdr:rowOff>0</xdr:rowOff>
    </xdr:from>
    <xdr:ext cx="304800" cy="304800"/>
    <xdr:sp macro="" textlink="">
      <xdr:nvSpPr>
        <xdr:cNvPr id="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748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158</xdr:row>
      <xdr:rowOff>0</xdr:rowOff>
    </xdr:from>
    <xdr:ext cx="304800" cy="304800"/>
    <xdr:sp macro="" textlink="">
      <xdr:nvSpPr>
        <xdr:cNvPr id="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116</xdr:row>
      <xdr:rowOff>0</xdr:rowOff>
    </xdr:from>
    <xdr:ext cx="304800" cy="304800"/>
    <xdr:sp macro="" textlink="">
      <xdr:nvSpPr>
        <xdr:cNvPr id="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150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119</xdr:row>
      <xdr:rowOff>209550</xdr:rowOff>
    </xdr:from>
    <xdr:ext cx="304800" cy="304800"/>
    <xdr:sp macro="" textlink="">
      <xdr:nvSpPr>
        <xdr:cNvPr id="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221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127</xdr:row>
      <xdr:rowOff>0</xdr:rowOff>
    </xdr:from>
    <xdr:ext cx="304800" cy="304800"/>
    <xdr:sp macro="" textlink="">
      <xdr:nvSpPr>
        <xdr:cNvPr id="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141</xdr:row>
      <xdr:rowOff>0</xdr:rowOff>
    </xdr:from>
    <xdr:ext cx="304800" cy="304800"/>
    <xdr:sp macro="" textlink="">
      <xdr:nvSpPr>
        <xdr:cNvPr id="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606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155</xdr:row>
      <xdr:rowOff>0</xdr:rowOff>
    </xdr:from>
    <xdr:ext cx="304800" cy="304800"/>
    <xdr:sp macro="" textlink="">
      <xdr:nvSpPr>
        <xdr:cNvPr id="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285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17</xdr:col>
      <xdr:colOff>0</xdr:colOff>
      <xdr:row>164</xdr:row>
      <xdr:rowOff>0</xdr:rowOff>
    </xdr:from>
    <xdr:ext cx="304800" cy="304800"/>
    <xdr:sp macro="" textlink="">
      <xdr:nvSpPr>
        <xdr:cNvPr id="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3014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564</xdr:row>
      <xdr:rowOff>0</xdr:rowOff>
    </xdr:from>
    <xdr:ext cx="304800" cy="304800"/>
    <xdr:sp macro="" textlink="">
      <xdr:nvSpPr>
        <xdr:cNvPr id="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BA8C8E6-F6B5-4B9D-91A7-943668F707FA}"/>
            </a:ext>
          </a:extLst>
        </xdr:cNvPr>
        <xdr:cNvSpPr>
          <a:spLocks noChangeAspect="1" noChangeArrowheads="1"/>
        </xdr:cNvSpPr>
      </xdr:nvSpPr>
      <xdr:spPr bwMode="auto">
        <a:xfrm>
          <a:off x="723900" y="75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567</xdr:row>
      <xdr:rowOff>209550</xdr:rowOff>
    </xdr:from>
    <xdr:ext cx="304800" cy="304800"/>
    <xdr:sp macro="" textlink="">
      <xdr:nvSpPr>
        <xdr:cNvPr id="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E3C9A4B-7CD7-4BF8-B62D-CF958D68A3E1}"/>
            </a:ext>
          </a:extLst>
        </xdr:cNvPr>
        <xdr:cNvSpPr>
          <a:spLocks noChangeAspect="1" noChangeArrowheads="1"/>
        </xdr:cNvSpPr>
      </xdr:nvSpPr>
      <xdr:spPr bwMode="auto">
        <a:xfrm>
          <a:off x="723900" y="828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572</xdr:row>
      <xdr:rowOff>0</xdr:rowOff>
    </xdr:from>
    <xdr:ext cx="304800" cy="304800"/>
    <xdr:sp macro="" textlink="">
      <xdr:nvSpPr>
        <xdr:cNvPr id="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4BA192-B6CE-42FD-B58F-7893431AD3C5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580</xdr:row>
      <xdr:rowOff>0</xdr:rowOff>
    </xdr:from>
    <xdr:ext cx="304800" cy="304800"/>
    <xdr:sp macro="" textlink="">
      <xdr:nvSpPr>
        <xdr:cNvPr id="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A6E11B5-DA60-4849-A615-E18A1719756E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60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573</xdr:row>
      <xdr:rowOff>0</xdr:rowOff>
    </xdr:from>
    <xdr:ext cx="304800" cy="304800"/>
    <xdr:sp macro="" textlink="">
      <xdr:nvSpPr>
        <xdr:cNvPr id="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69D199-F759-4784-BEB4-6CA241ACEF6E}"/>
            </a:ext>
          </a:extLst>
        </xdr:cNvPr>
        <xdr:cNvSpPr>
          <a:spLocks noChangeAspect="1" noChangeArrowheads="1"/>
        </xdr:cNvSpPr>
      </xdr:nvSpPr>
      <xdr:spPr bwMode="auto">
        <a:xfrm>
          <a:off x="723900" y="923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571</xdr:row>
      <xdr:rowOff>209550</xdr:rowOff>
    </xdr:from>
    <xdr:ext cx="304800" cy="304800"/>
    <xdr:sp macro="" textlink="">
      <xdr:nvSpPr>
        <xdr:cNvPr id="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6BBDD40-82FF-4F8D-85D4-1AA5DC098DD0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4800"/>
    <xdr:sp macro="" textlink="">
      <xdr:nvSpPr>
        <xdr:cNvPr id="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F3047A3-AC0A-4B67-B545-689A217F1D56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22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592</xdr:row>
      <xdr:rowOff>0</xdr:rowOff>
    </xdr:from>
    <xdr:ext cx="304800" cy="304800"/>
    <xdr:sp macro="" textlink="">
      <xdr:nvSpPr>
        <xdr:cNvPr id="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7716E98-9365-4B6C-A178-00B1555018D1}"/>
            </a:ext>
          </a:extLst>
        </xdr:cNvPr>
        <xdr:cNvSpPr>
          <a:spLocks noChangeAspect="1" noChangeArrowheads="1"/>
        </xdr:cNvSpPr>
      </xdr:nvSpPr>
      <xdr:spPr bwMode="auto">
        <a:xfrm>
          <a:off x="723900" y="1288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602</xdr:row>
      <xdr:rowOff>0</xdr:rowOff>
    </xdr:from>
    <xdr:ext cx="304800" cy="304800"/>
    <xdr:sp macro="" textlink="">
      <xdr:nvSpPr>
        <xdr:cNvPr id="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AF22F4E-14E0-4FFF-9E99-13BFEF919675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79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571</xdr:row>
      <xdr:rowOff>209550</xdr:rowOff>
    </xdr:from>
    <xdr:ext cx="304800" cy="304800"/>
    <xdr:sp macro="" textlink="">
      <xdr:nvSpPr>
        <xdr:cNvPr id="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F7FDEF-8A78-4328-A5BE-5E1F365AB5A3}"/>
            </a:ext>
          </a:extLst>
        </xdr:cNvPr>
        <xdr:cNvSpPr>
          <a:spLocks noChangeAspect="1" noChangeArrowheads="1"/>
        </xdr:cNvSpPr>
      </xdr:nvSpPr>
      <xdr:spPr bwMode="auto">
        <a:xfrm>
          <a:off x="723900" y="904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4800"/>
    <xdr:sp macro="" textlink="">
      <xdr:nvSpPr>
        <xdr:cNvPr id="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7B188BC-1F3B-42AE-A5DC-3726D07B48F2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22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592</xdr:row>
      <xdr:rowOff>0</xdr:rowOff>
    </xdr:from>
    <xdr:ext cx="304800" cy="304800"/>
    <xdr:sp macro="" textlink="">
      <xdr:nvSpPr>
        <xdr:cNvPr id="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15581C6-A581-4F33-998A-1FA3B62E08DA}"/>
            </a:ext>
          </a:extLst>
        </xdr:cNvPr>
        <xdr:cNvSpPr>
          <a:spLocks noChangeAspect="1" noChangeArrowheads="1"/>
        </xdr:cNvSpPr>
      </xdr:nvSpPr>
      <xdr:spPr bwMode="auto">
        <a:xfrm>
          <a:off x="723900" y="1288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602</xdr:row>
      <xdr:rowOff>0</xdr:rowOff>
    </xdr:from>
    <xdr:ext cx="304800" cy="304800"/>
    <xdr:sp macro="" textlink="">
      <xdr:nvSpPr>
        <xdr:cNvPr id="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992B62F-4182-4182-B416-09BDBC90D1CD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79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569</xdr:row>
      <xdr:rowOff>0</xdr:rowOff>
    </xdr:from>
    <xdr:ext cx="304800" cy="304800"/>
    <xdr:sp macro="" textlink="">
      <xdr:nvSpPr>
        <xdr:cNvPr id="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C64C4F-5181-4B0D-8185-559DF5BBDB14}"/>
            </a:ext>
          </a:extLst>
        </xdr:cNvPr>
        <xdr:cNvSpPr>
          <a:spLocks noChangeAspect="1" noChangeArrowheads="1"/>
        </xdr:cNvSpPr>
      </xdr:nvSpPr>
      <xdr:spPr bwMode="auto">
        <a:xfrm>
          <a:off x="723900" y="847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572</xdr:row>
      <xdr:rowOff>209550</xdr:rowOff>
    </xdr:from>
    <xdr:ext cx="304800" cy="304800"/>
    <xdr:sp macro="" textlink="">
      <xdr:nvSpPr>
        <xdr:cNvPr id="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7EC79C6-AA37-4D85-8320-36FADA319EFD}"/>
            </a:ext>
          </a:extLst>
        </xdr:cNvPr>
        <xdr:cNvSpPr>
          <a:spLocks noChangeAspect="1" noChangeArrowheads="1"/>
        </xdr:cNvSpPr>
      </xdr:nvSpPr>
      <xdr:spPr bwMode="auto">
        <a:xfrm>
          <a:off x="723900" y="923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580</xdr:row>
      <xdr:rowOff>0</xdr:rowOff>
    </xdr:from>
    <xdr:ext cx="304800" cy="304800"/>
    <xdr:sp macro="" textlink="">
      <xdr:nvSpPr>
        <xdr:cNvPr id="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B26ACC-B2DB-4D87-B419-326CCEAF59B2}"/>
            </a:ext>
          </a:extLst>
        </xdr:cNvPr>
        <xdr:cNvSpPr>
          <a:spLocks noChangeAspect="1" noChangeArrowheads="1"/>
        </xdr:cNvSpPr>
      </xdr:nvSpPr>
      <xdr:spPr bwMode="auto">
        <a:xfrm>
          <a:off x="723900" y="1060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594</xdr:row>
      <xdr:rowOff>0</xdr:rowOff>
    </xdr:from>
    <xdr:ext cx="304800" cy="304800"/>
    <xdr:sp macro="" textlink="">
      <xdr:nvSpPr>
        <xdr:cNvPr id="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E0AB31-5966-43A1-8C02-1F497C3D9A73}"/>
            </a:ext>
          </a:extLst>
        </xdr:cNvPr>
        <xdr:cNvSpPr>
          <a:spLocks noChangeAspect="1" noChangeArrowheads="1"/>
        </xdr:cNvSpPr>
      </xdr:nvSpPr>
      <xdr:spPr bwMode="auto">
        <a:xfrm>
          <a:off x="723900" y="1326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603</xdr:row>
      <xdr:rowOff>0</xdr:rowOff>
    </xdr:from>
    <xdr:ext cx="304800" cy="304800"/>
    <xdr:sp macro="" textlink="">
      <xdr:nvSpPr>
        <xdr:cNvPr id="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00FB588-6476-4095-81A0-0F4DA4FF5C64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603</xdr:row>
      <xdr:rowOff>0</xdr:rowOff>
    </xdr:from>
    <xdr:ext cx="304800" cy="304800"/>
    <xdr:sp macro="" textlink="">
      <xdr:nvSpPr>
        <xdr:cNvPr id="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EF6F9B5-A6E7-46B9-9AA0-9A9432200E29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600</xdr:row>
      <xdr:rowOff>0</xdr:rowOff>
    </xdr:from>
    <xdr:ext cx="304800" cy="304800"/>
    <xdr:sp macro="" textlink="">
      <xdr:nvSpPr>
        <xdr:cNvPr id="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299E19-0CF5-4B13-BD56-BFE30DAFD0AA}"/>
            </a:ext>
          </a:extLst>
        </xdr:cNvPr>
        <xdr:cNvSpPr>
          <a:spLocks noChangeAspect="1" noChangeArrowheads="1"/>
        </xdr:cNvSpPr>
      </xdr:nvSpPr>
      <xdr:spPr bwMode="auto">
        <a:xfrm>
          <a:off x="7239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609</xdr:row>
      <xdr:rowOff>0</xdr:rowOff>
    </xdr:from>
    <xdr:ext cx="304800" cy="304800"/>
    <xdr:sp macro="" textlink="">
      <xdr:nvSpPr>
        <xdr:cNvPr id="4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E272C42-2264-4667-9CF7-4DB1EF933CA8}"/>
            </a:ext>
          </a:extLst>
        </xdr:cNvPr>
        <xdr:cNvSpPr>
          <a:spLocks noChangeAspect="1" noChangeArrowheads="1"/>
        </xdr:cNvSpPr>
      </xdr:nvSpPr>
      <xdr:spPr bwMode="auto">
        <a:xfrm>
          <a:off x="723900" y="1612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4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DA74542-5BDD-46C4-98E0-64EC004233F3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4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5AD5B38-A5FC-4F38-91CA-E5E959C53318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4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A2EA247-5226-422E-B7EE-11D8321374A1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5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E2EA529-D4A1-471A-924B-CEE09448953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5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D39C34-88CB-45F9-9E26-B82ED188DE0F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5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A353743-36C6-4315-968A-48050160CBB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5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EF1398C-9725-48A7-B1CB-A24031ADF77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5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C0880C8-CB7E-47DC-94C2-55C924F0C39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5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09B807-4918-4795-9029-328D1183D179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5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3B87AB1-F4A3-4366-A9B4-9D94BBF05D5F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5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6765270-2AC8-415F-9AB1-364053EAFED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5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0E0FF1C-10B7-42E1-9C6D-E37089D1930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5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82EDA8-24F1-4C38-A259-CC986D6F1B4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6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8C0F41-C959-40B6-B02F-3DEB647F2C65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6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0040B23-4C98-49D1-BA36-4049A5ACF07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6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099B6A3-9606-4696-8FBD-0E4214FCE2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6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6311AEA-31A2-470B-AEB4-B3F8657A4A1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6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F21AE4B-876F-4C6E-8BEC-D14213EC2A6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6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F50A5B-7023-442C-82FA-904EBA524F24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6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C90EDD2-2282-43DE-A6AF-1C6EC1C83B9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6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2799EB6-4ECD-4510-A2F4-1C721F0EFC1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6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166D48-3A64-499D-B391-10E6B72D656A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6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3BAFE85-DE7B-4FE8-BF5F-C98524362A9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7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805A555-B3D5-422F-A871-AFCB80448EF6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7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154C44-16DD-4C09-A1A3-0AB44CA3B8A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7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BF0523D-719C-4A64-BDB4-FC9362FFFA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7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8036D36-5B53-465E-A0E9-1CBDE3FAF0DC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7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9839763-BB56-41F5-93A4-68F35962539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7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A2B84E-739D-4228-9566-DF3B8BBBB36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7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63DF51B-0F33-4D03-A6F9-A8CCF93CAFD6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7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A773F4C-06DF-4FEE-8A90-F038BDF289C3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7034D8-83E3-495B-B9F7-2560346ABAA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55E21A9-58C8-45FE-91F6-BF5AD8272E59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E4361B-B785-45EC-9F95-176C2A943DB6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D196D32-86CE-4AA7-A915-614430ADC72F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5D2F0DB-586A-439E-9976-5FD05928870F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4D1B9A5-6694-429C-BCE4-18DE958A726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A98BEEC-8A16-49D9-9DE6-52AF4B97CBA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EC34E34-363F-488B-8AF4-202444C6493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662A56C-E293-4CEF-9FBA-7FED04AAFC7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4ADBB8-E3F1-45EE-809F-81BDA092D5D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9B5E87-C1BD-43E9-A517-E5E0F4A700B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4800"/>
    <xdr:sp macro="" textlink="">
      <xdr:nvSpPr>
        <xdr:cNvPr id="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A99006F-F832-4093-9324-BF0836E7BF27}"/>
            </a:ext>
          </a:extLst>
        </xdr:cNvPr>
        <xdr:cNvSpPr>
          <a:spLocks noChangeAspect="1" noChangeArrowheads="1"/>
        </xdr:cNvSpPr>
      </xdr:nvSpPr>
      <xdr:spPr bwMode="auto">
        <a:xfrm>
          <a:off x="723900" y="3845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729</xdr:row>
      <xdr:rowOff>209550</xdr:rowOff>
    </xdr:from>
    <xdr:ext cx="304800" cy="304800"/>
    <xdr:sp macro="" textlink="">
      <xdr:nvSpPr>
        <xdr:cNvPr id="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19BBE80-FA88-48AE-852E-522F309794E6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21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0</xdr:rowOff>
    </xdr:from>
    <xdr:ext cx="304800" cy="304800"/>
    <xdr:sp macro="" textlink="">
      <xdr:nvSpPr>
        <xdr:cNvPr id="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75C8D76-D826-4731-B5C7-B36E581FCF4A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5EEC7EE-20C2-469C-917F-34487A2AD32D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735</xdr:row>
      <xdr:rowOff>0</xdr:rowOff>
    </xdr:from>
    <xdr:ext cx="304800" cy="304800"/>
    <xdr:sp macro="" textlink="">
      <xdr:nvSpPr>
        <xdr:cNvPr id="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9CA6FF0-99E5-41C2-86C0-1D2ED7D510C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0EFD41A-A8E0-4C00-9D04-65CDD2667514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7674EFF-ACB9-47C7-AAB1-23667E09117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DD8CFA9-1C79-4641-A99C-EDDF85AC60F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E8D1971-7B96-4BCB-8434-C5264A01FAFD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733</xdr:row>
      <xdr:rowOff>209550</xdr:rowOff>
    </xdr:from>
    <xdr:ext cx="304800" cy="304800"/>
    <xdr:sp macro="" textlink="">
      <xdr:nvSpPr>
        <xdr:cNvPr id="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6716BB-9210-4BD9-B40F-4C36F57E4FC1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97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740</xdr:row>
      <xdr:rowOff>0</xdr:rowOff>
    </xdr:from>
    <xdr:ext cx="304800" cy="304800"/>
    <xdr:sp macro="" textlink="">
      <xdr:nvSpPr>
        <xdr:cNvPr id="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543AE4D-9E0E-4369-87D1-CE925751515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754</xdr:row>
      <xdr:rowOff>0</xdr:rowOff>
    </xdr:from>
    <xdr:ext cx="304800" cy="304800"/>
    <xdr:sp macro="" textlink="">
      <xdr:nvSpPr>
        <xdr:cNvPr id="1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23A8F62-B5DD-4CCE-A84B-42390C30C8E5}"/>
            </a:ext>
          </a:extLst>
        </xdr:cNvPr>
        <xdr:cNvSpPr>
          <a:spLocks noChangeAspect="1" noChangeArrowheads="1"/>
        </xdr:cNvSpPr>
      </xdr:nvSpPr>
      <xdr:spPr bwMode="auto">
        <a:xfrm>
          <a:off x="723900" y="4378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764</xdr:row>
      <xdr:rowOff>0</xdr:rowOff>
    </xdr:from>
    <xdr:ext cx="304800" cy="304800"/>
    <xdr:sp macro="" textlink="">
      <xdr:nvSpPr>
        <xdr:cNvPr id="1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BE803C0-17AD-4D8B-A98F-5CC5C9CB75C7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69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731</xdr:row>
      <xdr:rowOff>0</xdr:rowOff>
    </xdr:from>
    <xdr:ext cx="304800" cy="304800"/>
    <xdr:sp macro="" textlink="">
      <xdr:nvSpPr>
        <xdr:cNvPr id="1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2EF118-DC19-4447-9CB2-B7AF3364655D}"/>
            </a:ext>
          </a:extLst>
        </xdr:cNvPr>
        <xdr:cNvSpPr>
          <a:spLocks noChangeAspect="1" noChangeArrowheads="1"/>
        </xdr:cNvSpPr>
      </xdr:nvSpPr>
      <xdr:spPr bwMode="auto">
        <a:xfrm>
          <a:off x="723900" y="394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734</xdr:row>
      <xdr:rowOff>209550</xdr:rowOff>
    </xdr:from>
    <xdr:ext cx="304800" cy="304800"/>
    <xdr:sp macro="" textlink="">
      <xdr:nvSpPr>
        <xdr:cNvPr id="1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AC9B2A9-A1B8-4F45-8792-C957F066DD9E}"/>
            </a:ext>
          </a:extLst>
        </xdr:cNvPr>
        <xdr:cNvSpPr>
          <a:spLocks noChangeAspect="1" noChangeArrowheads="1"/>
        </xdr:cNvSpPr>
      </xdr:nvSpPr>
      <xdr:spPr bwMode="auto">
        <a:xfrm>
          <a:off x="723900" y="401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742</xdr:row>
      <xdr:rowOff>0</xdr:rowOff>
    </xdr:from>
    <xdr:ext cx="304800" cy="304800"/>
    <xdr:sp macro="" textlink="">
      <xdr:nvSpPr>
        <xdr:cNvPr id="1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5B1660C-A963-40CF-8CD5-5C6C2F4422EA}"/>
            </a:ext>
          </a:extLst>
        </xdr:cNvPr>
        <xdr:cNvSpPr>
          <a:spLocks noChangeAspect="1" noChangeArrowheads="1"/>
        </xdr:cNvSpPr>
      </xdr:nvSpPr>
      <xdr:spPr bwMode="auto">
        <a:xfrm>
          <a:off x="723900" y="415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756</xdr:row>
      <xdr:rowOff>0</xdr:rowOff>
    </xdr:from>
    <xdr:ext cx="304800" cy="304800"/>
    <xdr:sp macro="" textlink="">
      <xdr:nvSpPr>
        <xdr:cNvPr id="1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B65C8C4-69FA-41BF-9AB7-D4AD7F0822EB}"/>
            </a:ext>
          </a:extLst>
        </xdr:cNvPr>
        <xdr:cNvSpPr>
          <a:spLocks noChangeAspect="1" noChangeArrowheads="1"/>
        </xdr:cNvSpPr>
      </xdr:nvSpPr>
      <xdr:spPr bwMode="auto">
        <a:xfrm>
          <a:off x="723900" y="4416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1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17B718A-6F0B-494D-80C3-9EDF955FABBC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765</xdr:row>
      <xdr:rowOff>0</xdr:rowOff>
    </xdr:from>
    <xdr:ext cx="304800" cy="304800"/>
    <xdr:sp macro="" textlink="">
      <xdr:nvSpPr>
        <xdr:cNvPr id="1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AE06149-5FBB-4EE1-B187-14141DD84C18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762</xdr:row>
      <xdr:rowOff>0</xdr:rowOff>
    </xdr:from>
    <xdr:ext cx="304800" cy="304800"/>
    <xdr:sp macro="" textlink="">
      <xdr:nvSpPr>
        <xdr:cNvPr id="1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5D7FB3D-0358-4E79-A127-81A19A8ABD90}"/>
            </a:ext>
          </a:extLst>
        </xdr:cNvPr>
        <xdr:cNvSpPr>
          <a:spLocks noChangeAspect="1" noChangeArrowheads="1"/>
        </xdr:cNvSpPr>
      </xdr:nvSpPr>
      <xdr:spPr bwMode="auto">
        <a:xfrm>
          <a:off x="723900" y="4531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771</xdr:row>
      <xdr:rowOff>0</xdr:rowOff>
    </xdr:from>
    <xdr:ext cx="304800" cy="304800"/>
    <xdr:sp macro="" textlink="">
      <xdr:nvSpPr>
        <xdr:cNvPr id="1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E6C9E6C-9544-4299-A564-82C3A1D1E533}"/>
            </a:ext>
          </a:extLst>
        </xdr:cNvPr>
        <xdr:cNvSpPr>
          <a:spLocks noChangeAspect="1" noChangeArrowheads="1"/>
        </xdr:cNvSpPr>
      </xdr:nvSpPr>
      <xdr:spPr bwMode="auto">
        <a:xfrm>
          <a:off x="723900" y="4702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E6C660A-A7F7-4E81-A316-D559D3DA74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E8FA740-40FD-4AC9-A951-A6C800F672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47102C2-7899-428C-9669-43B534E016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DD631F3-8CBB-43AD-BA12-818A2F7527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3EB254-E151-4A32-870D-F6E814F7DA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96DBCB4-8C9B-47CE-9F5B-5E051E785D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91763BC-7735-4D3D-B3A1-5DF037963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E2EE364-0CB4-4763-BE00-535CA6C478A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E99F80D-6B6C-4AB8-9DBA-2247349619D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F2928D-0891-4417-A5A7-A4BD2D9981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7D1717E-B035-49C4-8F68-B976B67D51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44CC7E-0060-4724-BE87-FBBDB1BE153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954DBF4-15A1-4BC9-930E-A661788678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4C78219-97AE-4BB3-A9FF-13CDD3E06E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2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53A7343-CEF3-4062-8B6B-CD51BA676F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ACE8BC9-BBD6-4BCB-9ECB-4825DE3754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14AD6F8-98CE-426C-8B1B-F8D19EAC90D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0A78EED-EF91-4350-A9DF-B6C511E76E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BCA9037-1909-48A0-9D7C-C7CB619F9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8B775FA-E715-4300-8590-46CC9AEA2EE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970543D-6CF2-420C-8B88-B429858DAF2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2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52092B3-28E9-4576-9291-90003B0DBF8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38AF054-1C69-4E8C-A1F4-43C6061089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3705642-AEEB-4CC5-9415-C3C7AC293B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B15C271-A2BF-49CC-8C75-9BDF857BC1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544F77-3BBE-4602-8BE0-5AA9F6341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704F8FF-75F4-4056-9E83-CE12E76B3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14EB02-E62A-4DF1-A8FF-E664034B59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5DC58FB-6D15-45C3-8D0E-191DF868C0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8999FC7-15D9-4839-94C4-581A6AE6CDD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8F04917-0617-4381-94A4-A48238F6AB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46C5CD0-CE19-40B1-98FB-8216424651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955E0B6-6B5C-4393-9C9F-08249719C3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D337DF-68B0-47E2-891C-11ACA56CC3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0696A4-5655-4DFE-9F52-73D9281EAE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C88588D-8840-41AF-99C0-C5073C30DD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7B5DD03-0CB6-49DB-9D07-DCDBC47511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2A346D6-1FBF-4603-A7EC-A35EE8F2BA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C664527-FB50-4465-A2F8-1B2FC251FC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C270EA-EA0A-4191-9A86-33D411554579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A36E3FB-E517-4D34-85A7-43269E296D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11CF92A-C637-405D-B1B6-171265093C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BBC3FA-C22A-4123-865D-600EFD03F8A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F5EFB05-5E45-47E3-AB73-2801E87BD0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3676724-1519-433C-B6DD-F85FE265BC2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700697-D937-4244-9E0B-DE3AA4F021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9C6D45D-45C1-494E-B415-55EC398214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94079E7-996E-4C89-BC09-51E298E4D0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4BE9216-189A-4F66-AE69-7ABF5BD17F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A6DEB1D-6408-4F9C-A899-8ACC7707A5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D80CF1E-4562-4001-9418-E6BAE7D00D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96B13F-0C43-4969-B651-2A0EA047B46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F64F84B-7960-4507-A879-DAB5D3F89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6F9FBCF-E7A5-4743-9289-2D5738A46FF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1A9269A-7A28-4575-B906-09AED7135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0298A34-FB79-46D7-856B-8EEF2DBCB9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940AA1A-C2C2-4913-8D8D-70A6B5BAEC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E1B0926-E903-483A-A5AE-78C1A32F021B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304800" cy="304800"/>
    <xdr:sp macro="" textlink="">
      <xdr:nvSpPr>
        <xdr:cNvPr id="3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A23F358-6471-4D1F-83BA-92C21FA34A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7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2668D38-9BB9-4FD1-B356-BA0534B96A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1EBA04C-24E5-4AFA-96E8-E7F4BC3475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304800" cy="304800"/>
    <xdr:sp macro="" textlink="">
      <xdr:nvSpPr>
        <xdr:cNvPr id="3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C7E8DA8-4F9E-4D66-A64E-F598201A41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304800" cy="304800"/>
    <xdr:sp macro="" textlink="">
      <xdr:nvSpPr>
        <xdr:cNvPr id="3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2725A4-B2F1-4671-848E-55265C545F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519026C-9C3F-4685-A6DD-8192EE6844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0BEBB2A-490F-4A66-95F8-7D6AF3184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A7A527B-5FF8-474E-A82B-7AC7BED2C3D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352B7AB-03F3-4479-87C7-35B5B9DC1B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DC0C2F8-6165-44D8-8D08-12BF57618EEE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4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9EC6810-C352-4925-B23D-D4D087056C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04D392-B749-4AA6-B67B-057DBFD21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FC30642-7540-432A-89DD-2AC5DFEE386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4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5F68E3B-7E78-4B93-94FF-B5F93EED52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5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ECD2512-FC2F-4961-8AF3-5E3C09FCC12E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51165D-481A-4D1C-B45B-0CB432CA3E3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62D45E0-5DCB-48B1-A1C8-F677A4C6197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32EBBB2-2200-4954-AC10-36DE8CD4D5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88236F0-E4E9-48E1-943B-E35533815A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209550</xdr:rowOff>
    </xdr:from>
    <xdr:ext cx="304800" cy="304800"/>
    <xdr:sp macro="" textlink="">
      <xdr:nvSpPr>
        <xdr:cNvPr id="35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EF8C34B-E92C-4BD6-95EA-1389DDE7D1D8}"/>
            </a:ext>
          </a:extLst>
        </xdr:cNvPr>
        <xdr:cNvSpPr>
          <a:spLocks noChangeAspect="1" noChangeArrowheads="1"/>
        </xdr:cNvSpPr>
      </xdr:nvSpPr>
      <xdr:spPr bwMode="auto">
        <a:xfrm>
          <a:off x="762000" y="20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F7464E5-7C52-4D0F-AC2E-9C7F4E10E6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19E2119-8267-46D8-9801-BC13B2FE13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27AC0DD-DED4-4F38-A757-7AFAC41D2E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5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464459F-5C30-4B88-93E4-994F0C1FA7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ACB38AA-6EEB-47F8-9F76-29F720320B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A01B006-5045-48E1-BF65-ADBE0816F33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A88F573-18F5-4692-86CB-A4F337790C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D4896A-9876-48B7-A62D-5FC8182F03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28EF94B-067C-45FD-BE02-C476C48ED0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6A4A751-8516-4CE9-BD94-4D1E0F2149A8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2608C7-D51A-4102-A677-990CE4A2BB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6B5E778-D011-4310-A457-FFA3F69500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6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B99547C-5C7A-43B3-8576-760769700685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6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A1ED086-3567-486E-A0AA-7CDEAC26CD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7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5C3BD0C-8FD0-4894-A550-056BEA4296F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9C6EA67-0AFA-4A6D-8DFB-F88E33607E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A59CFF0-635D-484F-B8F5-9569FCA191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4800"/>
    <xdr:sp macro="" textlink="">
      <xdr:nvSpPr>
        <xdr:cNvPr id="37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F27436A-8C7F-43A1-A30E-AA497B8AFC48}"/>
            </a:ext>
          </a:extLst>
        </xdr:cNvPr>
        <xdr:cNvSpPr>
          <a:spLocks noChangeAspect="1" noChangeArrowheads="1"/>
        </xdr:cNvSpPr>
      </xdr:nvSpPr>
      <xdr:spPr bwMode="auto">
        <a:xfrm>
          <a:off x="762000" y="23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304800" cy="304800"/>
    <xdr:sp macro="" textlink="">
      <xdr:nvSpPr>
        <xdr:cNvPr id="37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502004F-9582-4181-A6D5-4AEBE8B64D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261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0F10326-6020-4424-89C7-73F791B93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262EEFE-276F-4748-9D35-67035456742A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4800"/>
    <xdr:sp macro="" textlink="">
      <xdr:nvSpPr>
        <xdr:cNvPr id="37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1C89AE8-3E9D-4504-B963-E476CF8514AD}"/>
            </a:ext>
          </a:extLst>
        </xdr:cNvPr>
        <xdr:cNvSpPr>
          <a:spLocks noChangeAspect="1" noChangeArrowheads="1"/>
        </xdr:cNvSpPr>
      </xdr:nvSpPr>
      <xdr:spPr bwMode="auto">
        <a:xfrm>
          <a:off x="76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304800" cy="304800"/>
    <xdr:sp macro="" textlink="">
      <xdr:nvSpPr>
        <xdr:cNvPr id="37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1599CB2-FE2B-4F23-BC14-43F2B004DB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7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7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4A9A8FD-DD57-40C2-B3A3-E8D290E06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304800" cy="304800"/>
    <xdr:sp macro="" textlink="">
      <xdr:nvSpPr>
        <xdr:cNvPr id="38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CFE40EC-2170-4549-97C0-9A3D045F2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304800" cy="304800"/>
    <xdr:sp macro="" textlink="">
      <xdr:nvSpPr>
        <xdr:cNvPr id="38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2DBA378-8001-4370-AE3F-A2EA10BFDA24}"/>
            </a:ext>
          </a:extLst>
        </xdr:cNvPr>
        <xdr:cNvSpPr>
          <a:spLocks noChangeAspect="1" noChangeArrowheads="1"/>
        </xdr:cNvSpPr>
      </xdr:nvSpPr>
      <xdr:spPr bwMode="auto">
        <a:xfrm>
          <a:off x="762000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304800" cy="304800"/>
    <xdr:sp macro="" textlink="">
      <xdr:nvSpPr>
        <xdr:cNvPr id="38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23F01F8-7F36-4424-AEA3-B765638641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38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854204B-273B-4D69-A550-ADF1E02657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4833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207</xdr:row>
      <xdr:rowOff>209550</xdr:rowOff>
    </xdr:from>
    <xdr:ext cx="304800" cy="304800"/>
    <xdr:sp macro="" textlink="">
      <xdr:nvSpPr>
        <xdr:cNvPr id="38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A93DA9-D4EF-490A-9332-E0784A3AE2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26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0</xdr:rowOff>
    </xdr:from>
    <xdr:ext cx="304800" cy="304800"/>
    <xdr:sp macro="" textlink="">
      <xdr:nvSpPr>
        <xdr:cNvPr id="38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9190776-BA56-41D4-8515-7740A1E87A5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38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C721459-BC60-462F-9F43-AB7738E56E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213</xdr:row>
      <xdr:rowOff>0</xdr:rowOff>
    </xdr:from>
    <xdr:ext cx="304800" cy="304800"/>
    <xdr:sp macro="" textlink="">
      <xdr:nvSpPr>
        <xdr:cNvPr id="38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F1370E72-4F6F-407E-A4EB-2CD990CEB3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38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9E8E97E-FE71-4121-BF76-4BAE37B259F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38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C338C941-FF39-4813-AB37-27A51E8089A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39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EA76EEE-4C1E-4AF5-A3A1-03AA6ECA1F9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39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6B5DD83-F24D-49E5-8EBE-B989717B0DE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39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5B12722-7136-4332-A1A2-22DF983977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39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07E36E2-1E8D-4029-9CA1-D3DE0BCA5DF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39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564345-42D9-4A0F-96F6-E96171EEB8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39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6A4BC86-0AD4-4D07-9C98-836CF52B68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209</xdr:row>
      <xdr:rowOff>0</xdr:rowOff>
    </xdr:from>
    <xdr:ext cx="304800" cy="304800"/>
    <xdr:sp macro="" textlink="">
      <xdr:nvSpPr>
        <xdr:cNvPr id="39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A3BE27F-2AF5-47A7-BDB8-D18854CAC9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5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209550</xdr:rowOff>
    </xdr:from>
    <xdr:ext cx="304800" cy="304800"/>
    <xdr:sp macro="" textlink="">
      <xdr:nvSpPr>
        <xdr:cNvPr id="39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0395358-DE2D-4903-88B4-3E68EE7EC8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5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39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6F36768-430C-435F-9E59-47E26042DFC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234</xdr:row>
      <xdr:rowOff>0</xdr:rowOff>
    </xdr:from>
    <xdr:ext cx="304800" cy="304800"/>
    <xdr:sp macro="" textlink="">
      <xdr:nvSpPr>
        <xdr:cNvPr id="39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4A70B44-832B-44AA-8A91-D9C43662E6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48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0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B886B37-4817-4CAF-8376-838CCC693D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0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FBB00EE-6E66-496C-BFD2-3EE02FE9AC9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240</xdr:row>
      <xdr:rowOff>0</xdr:rowOff>
    </xdr:from>
    <xdr:ext cx="304800" cy="304800"/>
    <xdr:sp macro="" textlink="">
      <xdr:nvSpPr>
        <xdr:cNvPr id="40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5741365-AFC8-4E71-AA36-2605E59A49A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691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249</xdr:row>
      <xdr:rowOff>0</xdr:rowOff>
    </xdr:from>
    <xdr:ext cx="304800" cy="304800"/>
    <xdr:sp macro="" textlink="">
      <xdr:nvSpPr>
        <xdr:cNvPr id="40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07A702C-A1A8-4372-971D-49FB1A9DA5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90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204</xdr:row>
      <xdr:rowOff>0</xdr:rowOff>
    </xdr:from>
    <xdr:ext cx="304800" cy="304800"/>
    <xdr:sp macro="" textlink="">
      <xdr:nvSpPr>
        <xdr:cNvPr id="40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DB413CA-E1AD-48B9-8BAF-69A57B3BBB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4833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207</xdr:row>
      <xdr:rowOff>209550</xdr:rowOff>
    </xdr:from>
    <xdr:ext cx="304800" cy="304800"/>
    <xdr:sp macro="" textlink="">
      <xdr:nvSpPr>
        <xdr:cNvPr id="40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06E1E7B-7103-47CA-9A28-028DCBF3FA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26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0</xdr:rowOff>
    </xdr:from>
    <xdr:ext cx="304800" cy="304800"/>
    <xdr:sp macro="" textlink="">
      <xdr:nvSpPr>
        <xdr:cNvPr id="40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688D7B-DA6E-44A6-AFE9-BE4FCFA481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40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B0E07B7-48CA-4861-9CB2-09D4A87A599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213</xdr:row>
      <xdr:rowOff>0</xdr:rowOff>
    </xdr:from>
    <xdr:ext cx="304800" cy="304800"/>
    <xdr:sp macro="" textlink="">
      <xdr:nvSpPr>
        <xdr:cNvPr id="40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64AA2B1-C059-4016-AD5C-DFF705B2551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40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67BC42A-6605-4D3F-9F6D-1E16092B9D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41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3ADF540-7F1A-41CB-8303-46A4DA6AD3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41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F89FE9A-3EB7-4C1D-95E3-091DB1E230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41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C5EF71A-1BF1-4B3F-9FE8-21FE031109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211</xdr:row>
      <xdr:rowOff>209550</xdr:rowOff>
    </xdr:from>
    <xdr:ext cx="304800" cy="304800"/>
    <xdr:sp macro="" textlink="">
      <xdr:nvSpPr>
        <xdr:cNvPr id="41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FB1CE41-4A8A-461E-A407-95FFB8C0E0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21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</xdr:row>
      <xdr:rowOff>0</xdr:rowOff>
    </xdr:from>
    <xdr:ext cx="304800" cy="304800"/>
    <xdr:sp macro="" textlink="">
      <xdr:nvSpPr>
        <xdr:cNvPr id="41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3A7D023-51B2-45DA-B4F9-496C430B3A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167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232</xdr:row>
      <xdr:rowOff>0</xdr:rowOff>
    </xdr:from>
    <xdr:ext cx="304800" cy="304800"/>
    <xdr:sp macro="" textlink="">
      <xdr:nvSpPr>
        <xdr:cNvPr id="41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1D12DA7-8322-4AC4-BD09-FE0BDE8BE6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00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242</xdr:row>
      <xdr:rowOff>0</xdr:rowOff>
    </xdr:from>
    <xdr:ext cx="304800" cy="304800"/>
    <xdr:sp macro="" textlink="">
      <xdr:nvSpPr>
        <xdr:cNvPr id="41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75C01BF-52B9-4066-A6D3-BBCFE92E90A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209</xdr:row>
      <xdr:rowOff>0</xdr:rowOff>
    </xdr:from>
    <xdr:ext cx="304800" cy="304800"/>
    <xdr:sp macro="" textlink="">
      <xdr:nvSpPr>
        <xdr:cNvPr id="41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9FDB5765-94D7-40BD-95AD-EC8398F49BC8}"/>
            </a:ext>
          </a:extLst>
        </xdr:cNvPr>
        <xdr:cNvSpPr>
          <a:spLocks noChangeAspect="1" noChangeArrowheads="1"/>
        </xdr:cNvSpPr>
      </xdr:nvSpPr>
      <xdr:spPr bwMode="auto">
        <a:xfrm>
          <a:off x="762000" y="495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212</xdr:row>
      <xdr:rowOff>209550</xdr:rowOff>
    </xdr:from>
    <xdr:ext cx="304800" cy="304800"/>
    <xdr:sp macro="" textlink="">
      <xdr:nvSpPr>
        <xdr:cNvPr id="41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92AC676-4DAA-47C2-9C94-0826BCE6CC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045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220</xdr:row>
      <xdr:rowOff>0</xdr:rowOff>
    </xdr:from>
    <xdr:ext cx="304800" cy="304800"/>
    <xdr:sp macro="" textlink="">
      <xdr:nvSpPr>
        <xdr:cNvPr id="41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8A8F925C-46F0-4262-AE97-636AE99290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214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234</xdr:row>
      <xdr:rowOff>0</xdr:rowOff>
    </xdr:from>
    <xdr:ext cx="304800" cy="304800"/>
    <xdr:sp macro="" textlink="">
      <xdr:nvSpPr>
        <xdr:cNvPr id="42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E14F79B-7EC4-42C9-94BC-6A5DBD91C9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48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2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5020DD4-9DB4-4339-B003-CA5732CA12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243</xdr:row>
      <xdr:rowOff>0</xdr:rowOff>
    </xdr:from>
    <xdr:ext cx="304800" cy="304800"/>
    <xdr:sp macro="" textlink="">
      <xdr:nvSpPr>
        <xdr:cNvPr id="42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BED8F23-54FC-4D59-B446-522745255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76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240</xdr:row>
      <xdr:rowOff>0</xdr:rowOff>
    </xdr:from>
    <xdr:ext cx="304800" cy="304800"/>
    <xdr:sp macro="" textlink="">
      <xdr:nvSpPr>
        <xdr:cNvPr id="42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9720F97-8856-42DC-A225-FA3D7623EF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691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249</xdr:row>
      <xdr:rowOff>0</xdr:rowOff>
    </xdr:from>
    <xdr:ext cx="304800" cy="304800"/>
    <xdr:sp macro="" textlink="">
      <xdr:nvSpPr>
        <xdr:cNvPr id="42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69905E7-4CC9-4C41-A440-0A338F8868D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90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BF088027-B82E-4B37-B7FD-7A6C0EC308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318ECEA-CDCB-4D6E-BC04-08850092CE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74986DC-0415-4C74-828E-939C55B4E4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BD7D4C4-CE9E-4618-88D8-BDCF9DF7D5E8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2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8006101-C646-4D21-B499-1301CB1D429E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8D59ECA-2D66-46EF-873C-788EE70853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CDFB4A3-EDB4-4ADB-BE4D-11E371E311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328</xdr:row>
      <xdr:rowOff>0</xdr:rowOff>
    </xdr:from>
    <xdr:ext cx="304800" cy="304800"/>
    <xdr:sp macro="" textlink="">
      <xdr:nvSpPr>
        <xdr:cNvPr id="43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434CEA6-65DA-4DF1-B585-E1FA4D74B8DF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86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338</xdr:row>
      <xdr:rowOff>0</xdr:rowOff>
    </xdr:from>
    <xdr:ext cx="304800" cy="304800"/>
    <xdr:sp macro="" textlink="">
      <xdr:nvSpPr>
        <xdr:cNvPr id="43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4BA00687-6923-48AF-95FC-FA7752DAD3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2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B89C70D-757C-490B-9B4C-7F953BB01803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A623679B-C66A-4E88-A41C-3BDCDE5335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328</xdr:row>
      <xdr:rowOff>0</xdr:rowOff>
    </xdr:from>
    <xdr:ext cx="304800" cy="304800"/>
    <xdr:sp macro="" textlink="">
      <xdr:nvSpPr>
        <xdr:cNvPr id="436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64B6EBFE-8363-4CA9-97AD-FA091A6248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86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338</xdr:row>
      <xdr:rowOff>0</xdr:rowOff>
    </xdr:from>
    <xdr:ext cx="304800" cy="304800"/>
    <xdr:sp macro="" textlink="">
      <xdr:nvSpPr>
        <xdr:cNvPr id="437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F5AF074-BF4F-4FF2-803B-285F69BD8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2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8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2220E46C-DF1E-43C2-8760-5B505813CB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39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17330B95-C7F6-4322-AC19-361A5FDF72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327</xdr:row>
      <xdr:rowOff>0</xdr:rowOff>
    </xdr:from>
    <xdr:ext cx="304800" cy="304800"/>
    <xdr:sp macro="" textlink="">
      <xdr:nvSpPr>
        <xdr:cNvPr id="440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74B667D5-C946-4C41-B8D1-A0ACDBAC6C76}"/>
            </a:ext>
          </a:extLst>
        </xdr:cNvPr>
        <xdr:cNvSpPr>
          <a:spLocks noChangeAspect="1" noChangeArrowheads="1"/>
        </xdr:cNvSpPr>
      </xdr:nvSpPr>
      <xdr:spPr bwMode="auto">
        <a:xfrm>
          <a:off x="762000" y="7762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330</xdr:row>
      <xdr:rowOff>0</xdr:rowOff>
    </xdr:from>
    <xdr:ext cx="304800" cy="304800"/>
    <xdr:sp macro="" textlink="">
      <xdr:nvSpPr>
        <xdr:cNvPr id="441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5D1ED893-598E-4151-AD61-7B3054AB17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783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339</xdr:row>
      <xdr:rowOff>0</xdr:rowOff>
    </xdr:from>
    <xdr:ext cx="304800" cy="304800"/>
    <xdr:sp macro="" textlink="">
      <xdr:nvSpPr>
        <xdr:cNvPr id="442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EBE8F12C-7AF9-486F-8313-93B658F7BBC5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48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339</xdr:row>
      <xdr:rowOff>0</xdr:rowOff>
    </xdr:from>
    <xdr:ext cx="304800" cy="304800"/>
    <xdr:sp macro="" textlink="">
      <xdr:nvSpPr>
        <xdr:cNvPr id="443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31F09174-A096-4915-B2A9-C4F6FCD320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48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336</xdr:row>
      <xdr:rowOff>0</xdr:rowOff>
    </xdr:from>
    <xdr:ext cx="304800" cy="304800"/>
    <xdr:sp macro="" textlink="">
      <xdr:nvSpPr>
        <xdr:cNvPr id="444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010FBE91-DFF8-43A5-9610-E20940BCDC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7977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340</xdr:row>
      <xdr:rowOff>0</xdr:rowOff>
    </xdr:from>
    <xdr:ext cx="304800" cy="304800"/>
    <xdr:sp macro="" textlink="">
      <xdr:nvSpPr>
        <xdr:cNvPr id="445" name="AutoShape 1" descr="data:image/gif;base64,R0lGODlhEgASAPQfANHCKcbGxp1/CerPEd7RMsq2ar+qTvPwWe/v7sezHlA6DPzwLLSYDL6kLHVcDvryR/zmHf79cfr6+uDYusGoGMS8nf78Nta+EtfX1u7mMv76WfjaEraaHCgNAv3xOgAAACH5BAUAAB8ALAAAAAASABIAQAXb4CeKUmmWo4gwkeVaC7QNw2ZrDDJKWGU0FErDUMFIUhJDIvLwOD0AwCOSMBwlFYoGAnF0vh0HV0OpHEkFBuEQiRwIjML5kyRoAIpvwqJQuDQEVggcBwsDDDaJGwwDEA8cOjwNAAceMRALHgcADUYpdBMGHAICHAYTcyMIQAcaTR4PGgdCOqAsDQQeGQAeDgqwEQyogwcPFhkJGS4ODi4PB5ArLTGKiTUPOQgGuRsCDhc2Fw4CGx6BCBLaABoxCaQJmHcG6CoYBhQEsa4EFAYYtUgQYAhAMMC/VCEAADs=">
          <a:extLst>
            <a:ext uri="{FF2B5EF4-FFF2-40B4-BE49-F238E27FC236}">
              <a16:creationId xmlns:a16="http://schemas.microsoft.com/office/drawing/2014/main" id="{DBB87BB0-0097-4233-A54F-2E2CC2D695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8072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Camila Pastrana Buitrago" id="{C8DEEAA9-26F7-4A18-BCA2-CADA7DAD9950}" userId="S::maria.pastrana@azzorti.co::090390a1-1632-4ad9-8c53-8094dfaea72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4-11-14T11:54:05.52" personId="{C8DEEAA9-26F7-4A18-BCA2-CADA7DAD9950}" id="{9AB1FCF7-B96E-4E28-85EC-1C11F76C9C96}">
    <text>Se bajó la mano de obra de 450 a 420 igualando el isotipo</text>
  </threadedComment>
  <threadedComment ref="O4" dT="2024-10-25T11:37:21.99" personId="{C8DEEAA9-26F7-4A18-BCA2-CADA7DAD9950}" id="{63B083FB-F423-484E-B6CB-F89F5AA3CCAE}">
    <text xml:space="preserve">Se aumentó en la MO 150 de la base de los claros para emparejar el costo antiguo vs actual </text>
  </threadedComment>
  <threadedComment ref="F5" dT="2024-11-14T11:46:00.88" personId="{C8DEEAA9-26F7-4A18-BCA2-CADA7DAD9950}" id="{F23D582B-2FC9-4CD8-9CAC-45C7B698B1CD}">
    <text>Se disminuye los CIF de 330 a 198</text>
  </threadedComment>
  <threadedComment ref="B36" dT="2024-10-25T11:47:43.40" personId="{C8DEEAA9-26F7-4A18-BCA2-CADA7DAD9950}" id="{57BBFFC6-F9BE-4E03-8089-48673D662D30}">
    <text>El costo del Foil solo incluye la MO, no el del insumo</text>
  </threadedComment>
  <threadedComment ref="B37" dT="2024-10-25T11:46:39.26" personId="{C8DEEAA9-26F7-4A18-BCA2-CADA7DAD9950}" id="{07524604-D621-4C7D-A701-FAD1CA61720F}">
    <text>El costo tiene asociado la MO y el Insumo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DEA5-72D9-44B7-9568-8A0319C663ED}">
  <sheetPr codeName="Hoja1"/>
  <dimension ref="A1:T135"/>
  <sheetViews>
    <sheetView showGridLines="0" zoomScale="110" zoomScaleNormal="110" workbookViewId="0">
      <selection activeCell="G15" sqref="G15"/>
    </sheetView>
  </sheetViews>
  <sheetFormatPr baseColWidth="10" defaultColWidth="10.83203125" defaultRowHeight="14"/>
  <cols>
    <col min="1" max="1" width="16.5" style="1" customWidth="1"/>
    <col min="2" max="2" width="9.33203125" style="1" customWidth="1"/>
    <col min="3" max="3" width="10.5" style="1" customWidth="1"/>
    <col min="4" max="4" width="7.5" style="1" customWidth="1"/>
    <col min="5" max="5" width="11.83203125" style="1" customWidth="1"/>
    <col min="6" max="6" width="9.6640625" style="1" customWidth="1"/>
    <col min="7" max="7" width="11.33203125" style="1" customWidth="1"/>
    <col min="8" max="8" width="16.1640625" style="1" customWidth="1"/>
    <col min="9" max="9" width="14.83203125" style="1" customWidth="1"/>
    <col min="10" max="10" width="10.6640625" style="1" customWidth="1"/>
    <col min="11" max="11" width="15.5" style="1" customWidth="1"/>
    <col min="12" max="12" width="28.5" style="5" hidden="1" customWidth="1"/>
    <col min="13" max="13" width="14" style="1" customWidth="1"/>
    <col min="14" max="14" width="34.83203125" style="1" customWidth="1"/>
    <col min="15" max="15" width="22.83203125" style="1" customWidth="1"/>
    <col min="16" max="16" width="23.83203125" style="1" customWidth="1"/>
    <col min="17" max="18" width="27.5" style="1" customWidth="1"/>
    <col min="19" max="19" width="20.83203125" style="1" customWidth="1"/>
    <col min="20" max="20" width="21.5" style="1" customWidth="1"/>
    <col min="21" max="16384" width="10.83203125" style="1"/>
  </cols>
  <sheetData>
    <row r="1" spans="1:20" ht="18.5" customHeight="1">
      <c r="A1" s="12"/>
      <c r="B1" s="13"/>
      <c r="C1" s="336" t="s">
        <v>1</v>
      </c>
      <c r="D1" s="336"/>
      <c r="E1" s="336"/>
      <c r="F1" s="336"/>
      <c r="G1" s="336"/>
      <c r="H1" s="336"/>
      <c r="I1" s="164" t="s">
        <v>181</v>
      </c>
      <c r="J1" s="332" t="s">
        <v>211</v>
      </c>
      <c r="K1" s="333"/>
      <c r="M1" s="308" t="s">
        <v>115</v>
      </c>
      <c r="N1" s="308"/>
      <c r="O1" s="308" t="s">
        <v>216</v>
      </c>
      <c r="P1" s="308"/>
      <c r="Q1" s="314"/>
      <c r="R1" s="315"/>
      <c r="S1" s="239"/>
      <c r="T1" s="239"/>
    </row>
    <row r="2" spans="1:20" ht="16.5" customHeight="1">
      <c r="A2" s="14"/>
      <c r="B2" s="2"/>
      <c r="C2" s="337"/>
      <c r="D2" s="337"/>
      <c r="E2" s="337"/>
      <c r="F2" s="337"/>
      <c r="G2" s="337"/>
      <c r="H2" s="337"/>
      <c r="I2" s="165">
        <v>46058</v>
      </c>
      <c r="J2" s="334" t="s">
        <v>0</v>
      </c>
      <c r="K2" s="335"/>
      <c r="M2" s="308"/>
      <c r="N2" s="308"/>
      <c r="O2" s="308"/>
      <c r="P2" s="308"/>
      <c r="Q2" s="314"/>
      <c r="R2" s="315"/>
      <c r="S2" s="239"/>
      <c r="T2" s="239"/>
    </row>
    <row r="3" spans="1:20" ht="14" customHeight="1">
      <c r="A3" s="354" t="s">
        <v>2</v>
      </c>
      <c r="B3" s="359"/>
      <c r="C3" s="360"/>
      <c r="D3" s="363" t="s">
        <v>3</v>
      </c>
      <c r="E3" s="365"/>
      <c r="F3" s="367" t="s">
        <v>4</v>
      </c>
      <c r="G3" s="320"/>
      <c r="H3" s="56" t="s">
        <v>5</v>
      </c>
      <c r="I3" s="322"/>
      <c r="J3" s="323"/>
      <c r="K3" s="324"/>
      <c r="M3" s="325" t="str">
        <f>IF(AND(I4="SUBLIMACION LOCALIZADA",J5="ISOTIPO",A30="VINILO LIV"),"NO APTO",IF(AND(I4="SUBLIMACION LOCALIZADA",J5="ESTAMPADO",A30="VINILO LIV"),"NO APTO",IF(AND(I4="ESTAMPACION LOCALIZADA",J5="ESTAMPADO",A30="VINILO LIV"),"NO APTO",IF(AND(I4="SUBLIMACION LOCALIZADA",J5="ESTAMPADO"),"NO APTO",IF(AND(I4="SUBLIMACION LOCALIZADA",J5="ISOTIPO",A30=""),"NO APTO",IF(AND(I4="ESTAMPACION LOCALIZADA",J5="ISOTIPO",A30=""),"",IF(AND(I4="ESTAMPACION LOCALIZADA",J5="ISOTIPO",A30&lt;&gt;"VINILO LIV"),"NO APTO",IF(I4="ESTAMPACION LOCALIZADA",'PLANTILLA COSTO 1'!C69*F7,IF(I4="SUBLIMACION LOCALIZADA",'COSTOS SUBLIMACION'!B42,"")))))))))</f>
        <v/>
      </c>
      <c r="N3" s="325"/>
      <c r="O3" s="309" t="str">
        <f>IFERROR(M3+M36+M70+M104,"")</f>
        <v/>
      </c>
      <c r="P3" s="309"/>
      <c r="Q3" s="314"/>
      <c r="R3" s="315"/>
      <c r="S3" s="239"/>
      <c r="T3" s="239"/>
    </row>
    <row r="4" spans="1:20" s="5" customFormat="1" ht="14" customHeight="1">
      <c r="A4" s="355"/>
      <c r="B4" s="361"/>
      <c r="C4" s="362"/>
      <c r="D4" s="364"/>
      <c r="E4" s="366"/>
      <c r="F4" s="368"/>
      <c r="G4" s="321"/>
      <c r="H4" s="56" t="s">
        <v>51</v>
      </c>
      <c r="I4" s="322"/>
      <c r="J4" s="323"/>
      <c r="K4" s="324"/>
      <c r="M4" s="325"/>
      <c r="N4" s="325"/>
      <c r="O4" s="309"/>
      <c r="P4" s="309"/>
      <c r="Q4" s="314"/>
      <c r="R4" s="315"/>
      <c r="S4" s="239"/>
      <c r="T4" s="239"/>
    </row>
    <row r="5" spans="1:20" ht="16">
      <c r="A5" s="162" t="s">
        <v>6</v>
      </c>
      <c r="B5" s="177"/>
      <c r="C5" s="163" t="s">
        <v>180</v>
      </c>
      <c r="D5" s="356"/>
      <c r="E5" s="356"/>
      <c r="F5" s="163" t="s">
        <v>70</v>
      </c>
      <c r="G5" s="357"/>
      <c r="H5" s="358"/>
      <c r="I5" s="233" t="s">
        <v>276</v>
      </c>
      <c r="J5" s="375"/>
      <c r="K5" s="376"/>
      <c r="M5" s="326"/>
      <c r="N5" s="326"/>
    </row>
    <row r="6" spans="1:20" ht="20">
      <c r="A6" s="161" t="s">
        <v>45</v>
      </c>
      <c r="B6" s="369" t="s">
        <v>917</v>
      </c>
      <c r="C6" s="369"/>
      <c r="D6" s="369"/>
      <c r="E6" s="370"/>
      <c r="F6" s="370"/>
      <c r="G6" s="369"/>
      <c r="H6" s="241" t="s">
        <v>46</v>
      </c>
      <c r="I6" s="377" t="s">
        <v>91</v>
      </c>
      <c r="J6" s="378"/>
      <c r="K6" s="379"/>
      <c r="L6" s="246"/>
      <c r="M6" s="326"/>
      <c r="N6" s="326"/>
    </row>
    <row r="7" spans="1:20" ht="16">
      <c r="A7" s="168" t="s">
        <v>44</v>
      </c>
      <c r="B7" s="375"/>
      <c r="C7" s="375"/>
      <c r="D7" s="375"/>
      <c r="E7" s="167" t="s">
        <v>43</v>
      </c>
      <c r="F7" s="178"/>
      <c r="G7" s="348" t="s">
        <v>107</v>
      </c>
      <c r="H7" s="348"/>
      <c r="I7" s="176"/>
      <c r="J7" s="166" t="s">
        <v>27</v>
      </c>
      <c r="K7" s="175"/>
      <c r="M7" s="327"/>
      <c r="N7" s="327"/>
    </row>
    <row r="8" spans="1:20" ht="16">
      <c r="A8" s="169" t="s">
        <v>114</v>
      </c>
      <c r="B8" s="177"/>
      <c r="C8" s="349" t="s">
        <v>49</v>
      </c>
      <c r="D8" s="349"/>
      <c r="E8" s="24" t="str">
        <f>IF(D30="","",SUM(D30:D33))</f>
        <v/>
      </c>
      <c r="F8" s="350" t="s">
        <v>105</v>
      </c>
      <c r="G8" s="350"/>
      <c r="H8" s="185">
        <f>IF(B6="","",SUM(B25:B27,D30:D33))</f>
        <v>1</v>
      </c>
      <c r="I8" s="225" t="s">
        <v>271</v>
      </c>
      <c r="J8" s="373"/>
      <c r="K8" s="374"/>
      <c r="M8" s="327"/>
      <c r="N8" s="327"/>
      <c r="O8" s="1" t="s">
        <v>320</v>
      </c>
    </row>
    <row r="9" spans="1:20" ht="14" customHeight="1">
      <c r="A9" s="353" t="s">
        <v>209</v>
      </c>
      <c r="B9" s="351"/>
      <c r="C9" s="351"/>
      <c r="D9" s="351"/>
      <c r="E9" s="351"/>
      <c r="F9" s="351" t="s">
        <v>210</v>
      </c>
      <c r="G9" s="351"/>
      <c r="H9" s="351"/>
      <c r="I9" s="351"/>
      <c r="J9" s="351"/>
      <c r="K9" s="352"/>
    </row>
    <row r="10" spans="1:20" ht="0.5" customHeight="1">
      <c r="A10" s="353"/>
      <c r="B10" s="351"/>
      <c r="C10" s="351"/>
      <c r="D10" s="351"/>
      <c r="E10" s="351"/>
      <c r="F10" s="351"/>
      <c r="G10" s="351"/>
      <c r="H10" s="351"/>
      <c r="I10" s="351"/>
      <c r="J10" s="351"/>
      <c r="K10" s="352"/>
    </row>
    <row r="11" spans="1:20" ht="16" customHeight="1">
      <c r="A11" s="174" t="s">
        <v>217</v>
      </c>
      <c r="B11" s="177"/>
      <c r="C11" s="371" t="s">
        <v>218</v>
      </c>
      <c r="D11" s="372"/>
      <c r="E11" s="177"/>
      <c r="F11" s="186"/>
      <c r="K11" s="15"/>
      <c r="M11" s="306" t="str">
        <f>IF(B8="SI","RECUERDA QUE EL COSTO DEL ALTA DENSIDAD INCLUYE MANO DE OBRA E INSUMO","")</f>
        <v/>
      </c>
      <c r="N11" s="306"/>
      <c r="O11" s="310"/>
      <c r="P11" s="310"/>
    </row>
    <row r="12" spans="1:20" ht="16" customHeight="1">
      <c r="A12" s="222"/>
      <c r="B12" s="223"/>
      <c r="F12" s="186"/>
      <c r="K12" s="15"/>
      <c r="M12" s="306"/>
      <c r="N12" s="306"/>
      <c r="O12" s="310"/>
      <c r="P12" s="310"/>
    </row>
    <row r="13" spans="1:20" ht="16" customHeight="1">
      <c r="A13" s="170"/>
      <c r="B13" s="196"/>
      <c r="F13" s="186"/>
      <c r="K13" s="15"/>
      <c r="L13" s="5" t="str">
        <f>RIGHT(B6,8)</f>
        <v>UL JASPE</v>
      </c>
      <c r="M13" s="306"/>
      <c r="N13" s="306"/>
      <c r="O13" s="316"/>
      <c r="P13" s="316"/>
    </row>
    <row r="14" spans="1:20" ht="16" customHeight="1">
      <c r="A14" s="170"/>
      <c r="B14" s="196"/>
      <c r="F14" s="186"/>
      <c r="K14" s="15"/>
      <c r="L14" s="5" t="str">
        <f>IFERROR(VLOOKUP(B6,DATOS!B:E,2,FALSE),"")</f>
        <v>OSCURO</v>
      </c>
      <c r="M14" s="306"/>
      <c r="N14" s="306"/>
      <c r="O14" s="316"/>
      <c r="P14" s="316"/>
    </row>
    <row r="15" spans="1:20" ht="15.5" customHeight="1">
      <c r="A15" s="170"/>
      <c r="B15" s="196"/>
      <c r="F15" s="186"/>
      <c r="K15" s="15"/>
      <c r="L15" s="5" t="str">
        <f>RIGHT(I3,9)</f>
        <v/>
      </c>
      <c r="M15" s="306"/>
      <c r="N15" s="306"/>
    </row>
    <row r="16" spans="1:20" ht="15.5" customHeight="1">
      <c r="A16" s="170"/>
      <c r="B16" s="196"/>
      <c r="F16" s="186"/>
      <c r="K16" s="15"/>
      <c r="L16" s="5" t="str">
        <f>RIGHT(I4,25)</f>
        <v/>
      </c>
      <c r="M16" s="306" t="str">
        <f>IF(K7="SI","RECUERDA QUE EL COSTO DEL FOIL INCLUYE MANO DE OBRA PERO NO EL INSUMO","")</f>
        <v/>
      </c>
      <c r="N16" s="306"/>
      <c r="O16" s="313"/>
      <c r="P16" s="313"/>
    </row>
    <row r="17" spans="1:20" ht="27.5" customHeight="1">
      <c r="A17" s="343"/>
      <c r="B17" s="344"/>
      <c r="C17" s="197"/>
      <c r="D17" s="197"/>
      <c r="F17" s="186"/>
      <c r="K17" s="15"/>
      <c r="L17" s="5" t="str">
        <f>RIGHT(J5,10)</f>
        <v/>
      </c>
      <c r="M17" s="306"/>
      <c r="N17" s="306"/>
      <c r="O17" s="313"/>
      <c r="P17" s="313"/>
    </row>
    <row r="18" spans="1:20" ht="27.5" customHeight="1">
      <c r="A18" s="226"/>
      <c r="B18" s="227"/>
      <c r="C18" s="197"/>
      <c r="D18" s="197"/>
      <c r="F18" s="186"/>
      <c r="K18" s="15"/>
      <c r="L18" s="5" t="str">
        <f>IF(AND(L16="ESTAMPACION LOCALIZADA",L17="ISOTIPO"),"OK","NO")</f>
        <v>NO</v>
      </c>
      <c r="M18" s="306"/>
      <c r="N18" s="306"/>
      <c r="O18" s="313"/>
      <c r="P18" s="313"/>
    </row>
    <row r="19" spans="1:20" ht="73" customHeight="1">
      <c r="A19" s="345"/>
      <c r="B19" s="313"/>
      <c r="C19" s="197"/>
      <c r="D19" s="197"/>
      <c r="F19" s="186"/>
      <c r="K19" s="15"/>
      <c r="M19" s="306" t="str">
        <f>IF(J5="ISOTIPO","RECUERDA QUE EL COSTO DEL ISOTIPO INCLUYE INSUMO Y MANO DE OBRA","")</f>
        <v/>
      </c>
      <c r="N19" s="306"/>
    </row>
    <row r="20" spans="1:20" ht="14" customHeight="1">
      <c r="A20" s="346"/>
      <c r="B20" s="347"/>
      <c r="C20" s="198"/>
      <c r="D20" s="198"/>
      <c r="F20" s="186"/>
      <c r="K20" s="15"/>
      <c r="M20" s="306"/>
      <c r="N20" s="306"/>
    </row>
    <row r="21" spans="1:20" ht="16">
      <c r="A21" s="174" t="s">
        <v>110</v>
      </c>
      <c r="B21" s="177"/>
      <c r="C21" s="198"/>
      <c r="D21" s="198"/>
      <c r="F21" s="186"/>
      <c r="K21" s="15"/>
      <c r="M21" s="306"/>
      <c r="N21" s="306"/>
    </row>
    <row r="22" spans="1:20" ht="16" customHeight="1">
      <c r="A22" s="174" t="s">
        <v>109</v>
      </c>
      <c r="B22" s="177"/>
      <c r="C22" s="198"/>
      <c r="D22" s="198"/>
      <c r="E22" s="199"/>
      <c r="F22" s="318"/>
      <c r="G22" s="319"/>
      <c r="H22" s="338"/>
      <c r="I22" s="338"/>
      <c r="J22" s="200"/>
      <c r="K22" s="62"/>
      <c r="M22" s="306" t="str">
        <f>IF(OR(L15="AZZ KIDS",L15="KIDS NIÑO",L15="KIDS NIÑA"),"RECUERDE QUE A LAS REF DE KIDS TIENE UN COSTO ADICIONAL DE SUAVIZADO","")</f>
        <v/>
      </c>
      <c r="N22" s="306"/>
    </row>
    <row r="23" spans="1:20" s="10" customFormat="1" ht="16.5" customHeight="1">
      <c r="A23" s="174" t="s">
        <v>286</v>
      </c>
      <c r="B23" s="178"/>
      <c r="C23" s="198"/>
      <c r="D23" s="198"/>
      <c r="E23" s="201"/>
      <c r="F23" s="187"/>
      <c r="G23" s="201"/>
      <c r="H23" s="339"/>
      <c r="I23" s="339"/>
      <c r="J23" s="339"/>
      <c r="K23" s="340"/>
      <c r="M23" s="306"/>
      <c r="N23" s="306"/>
      <c r="O23" s="1"/>
      <c r="P23" s="1"/>
    </row>
    <row r="24" spans="1:20" s="39" customFormat="1" ht="15" customHeight="1">
      <c r="A24" s="54" t="s">
        <v>48</v>
      </c>
      <c r="B24" s="55" t="s">
        <v>184</v>
      </c>
      <c r="C24" s="55" t="s">
        <v>28</v>
      </c>
      <c r="D24" s="55" t="s">
        <v>50</v>
      </c>
      <c r="E24" s="183" t="s">
        <v>118</v>
      </c>
      <c r="F24" s="47"/>
      <c r="I24" s="202"/>
      <c r="J24" s="202"/>
      <c r="K24" s="61"/>
      <c r="L24" s="221"/>
      <c r="M24" s="306"/>
      <c r="N24" s="306"/>
      <c r="O24" s="1"/>
      <c r="P24" s="1"/>
    </row>
    <row r="25" spans="1:20" ht="16" customHeight="1">
      <c r="A25" s="65" t="str">
        <f>IF(K7="SI","PEGA FOIL",IF(J5="ISOTIPO","",IF(B6="","",IF(AND(L14="KIOTO",I6="MEDIO"),"BLANCO COTTON",IF(AND(L14="KIOTO",I6="OSCURO"),"BLANCO COTTON",IF(AND(L14="KIOTO",I6="CLARO"),"",IF(I6="MEDIO","BLOCKING",IF(I6="OSCURO","BLOCKING",IF(I6="CLARO","")))))))))</f>
        <v>BLOCKING</v>
      </c>
      <c r="B25" s="24">
        <f>IF(A25="","",IF(A25="NA","NA",1))</f>
        <v>1</v>
      </c>
      <c r="C25" s="4" t="str">
        <f>IF(B25="","",IF($I$4="SUBLIMACION LOCALIZADA","CALANDRA 1",IF($I$4="ESTAMPACION LOCALIZADA","PULPO AT","")))</f>
        <v/>
      </c>
      <c r="D25" s="24" t="str">
        <f>IF(C25="CALANDRA 1","190°C",IF(C25="PULPO AT","165°C",""))</f>
        <v/>
      </c>
      <c r="E25" s="184" t="str">
        <f>IF(C25="CALANDRA 1","2sg",IF(C25="PULPO AT","6.5/40 sg",""))</f>
        <v/>
      </c>
      <c r="F25" s="186"/>
      <c r="I25" s="202"/>
      <c r="J25" s="202"/>
      <c r="K25" s="61"/>
      <c r="L25" s="42"/>
      <c r="M25" s="306"/>
      <c r="N25" s="306"/>
      <c r="Q25" s="57"/>
      <c r="T25" s="1" t="s">
        <v>187</v>
      </c>
    </row>
    <row r="26" spans="1:20" ht="16" customHeight="1">
      <c r="A26" s="65" t="str">
        <f>IF(K7="SI","",IF(J5="ISOTIPO","",IF(B6="","",IF(AND(L14="KIOTO",I6="MEDIO"),"BLANCO",IF(AND(L14="KIOTO",I6="OSCURO"),"BLANCO",IF(AND(L14="KIOTO",I6="CLARO"),"",IF(I6="MEDIO","",IF(I6="OSCURO","",IF(I6="CLARO","")))))))))</f>
        <v/>
      </c>
      <c r="B26" s="24" t="str">
        <f t="shared" ref="B26:B27" si="0">IF(A26="","",IF(A26="NA","NA",1))</f>
        <v/>
      </c>
      <c r="C26" s="4" t="str">
        <f t="shared" ref="C26:C27" si="1">IF(B26="","",IF($I$4="SUBLIMACION LOCALIZADA","CALANDRA 1",IF($I$4="ESTAMPACION LOCALIZADA","PULPO AT","")))</f>
        <v/>
      </c>
      <c r="D26" s="24" t="str">
        <f t="shared" ref="D26:D27" si="2">IF(C26="CALANDRA 1","190°C",IF(C26="PULPO AT","165°C",""))</f>
        <v/>
      </c>
      <c r="E26" s="184" t="str">
        <f t="shared" ref="E26:E27" si="3">IF(C26="CALANDRA 1","2sg",IF(C26="PULPO AT","6.5/40 sg",""))</f>
        <v/>
      </c>
      <c r="F26" s="186"/>
      <c r="I26" s="202"/>
      <c r="J26" s="202"/>
      <c r="K26" s="61"/>
      <c r="L26" s="42"/>
      <c r="M26" s="306"/>
      <c r="N26" s="306"/>
      <c r="Q26" s="57"/>
    </row>
    <row r="27" spans="1:20" ht="16" customHeight="1">
      <c r="A27" s="66" t="str">
        <f>IF(K7="SI","",IF(J5="ISOTIPO","",IF(B6="","",IF(AND(L14="KIOTO",I6="MEDIO"),"",IF(AND(L14="KIOTO",I6="OSCURO"),"",IF(AND(L14="KIOTO",I6="CLARO"),"",IF(I6="MEDIO","",IF(I6="OSCURO","",IF(I6="CLARO","")))))))))</f>
        <v/>
      </c>
      <c r="B27" s="40" t="str">
        <f t="shared" si="0"/>
        <v/>
      </c>
      <c r="C27" s="4" t="str">
        <f t="shared" si="1"/>
        <v/>
      </c>
      <c r="D27" s="24" t="str">
        <f t="shared" si="2"/>
        <v/>
      </c>
      <c r="E27" s="184" t="str">
        <f t="shared" si="3"/>
        <v/>
      </c>
      <c r="F27" s="189"/>
      <c r="G27" s="190"/>
      <c r="H27" s="190"/>
      <c r="I27" s="188"/>
      <c r="J27" s="188"/>
      <c r="K27" s="191"/>
      <c r="L27" s="42"/>
      <c r="M27" s="240"/>
      <c r="N27" s="240"/>
      <c r="O27" s="57"/>
      <c r="P27" s="57"/>
      <c r="Q27" s="57"/>
    </row>
    <row r="28" spans="1:20" ht="16" customHeight="1">
      <c r="A28" s="46"/>
      <c r="B28" s="41"/>
      <c r="C28" s="41"/>
      <c r="D28" s="41"/>
      <c r="E28" s="41"/>
      <c r="F28" s="5"/>
      <c r="G28" s="5"/>
      <c r="H28" s="5"/>
      <c r="I28" s="202"/>
      <c r="J28" s="202"/>
      <c r="K28" s="61"/>
      <c r="L28" s="42"/>
      <c r="M28" s="42"/>
      <c r="N28" s="42"/>
      <c r="O28" s="58"/>
      <c r="P28" s="58"/>
      <c r="Q28" s="58"/>
    </row>
    <row r="29" spans="1:20" ht="14" customHeight="1">
      <c r="A29" s="51" t="s">
        <v>25</v>
      </c>
      <c r="B29" s="48" t="s">
        <v>29</v>
      </c>
      <c r="C29" s="48" t="s">
        <v>179</v>
      </c>
      <c r="D29" s="49" t="s">
        <v>184</v>
      </c>
      <c r="E29" s="50" t="s">
        <v>28</v>
      </c>
      <c r="F29" s="49" t="s">
        <v>50</v>
      </c>
      <c r="G29" s="49" t="s">
        <v>108</v>
      </c>
      <c r="H29" s="317" t="s">
        <v>121</v>
      </c>
      <c r="I29" s="317"/>
      <c r="J29" s="329" t="s">
        <v>177</v>
      </c>
      <c r="K29" s="330"/>
      <c r="L29" s="201"/>
    </row>
    <row r="30" spans="1:20" ht="16">
      <c r="A30" s="193"/>
      <c r="B30" s="177"/>
      <c r="C30" s="177"/>
      <c r="D30" s="24" t="str">
        <f>IF(B30="","",IF(A30="NA","NA",1))</f>
        <v/>
      </c>
      <c r="E30" s="4" t="str">
        <f>IF(B30="","",IF($I$4="ESTAMPACION LOCALIZADA","PULPO AT",IF($I$4="SUBLIMACION LOCALIZADA","CALANDRA 1","")))</f>
        <v/>
      </c>
      <c r="F30" s="24" t="str">
        <f>IF(B30="","",IF($I$4="ESTAMPACION LOCALIZADA","165°C",IF($I$4="SUBLIMACION LOCALIZADA","190°C","")))</f>
        <v/>
      </c>
      <c r="G30" s="24" t="str">
        <f>IF(B30="","",IF($I$4="ESTAMPACION LOCALIZADA","6.5/40 sg",IF($I$4="SUBLIMACION LOCALIZADA","2 sg","")))</f>
        <v/>
      </c>
      <c r="H30" s="317"/>
      <c r="I30" s="317"/>
      <c r="J30" s="329"/>
      <c r="K30" s="330"/>
      <c r="L30" s="201"/>
    </row>
    <row r="31" spans="1:20" ht="14.5" customHeight="1">
      <c r="A31" s="193"/>
      <c r="B31" s="177"/>
      <c r="C31" s="177"/>
      <c r="D31" s="24" t="str">
        <f t="shared" ref="D31:D33" si="4">IF(B31="","",IF(A31="NA","NA",1))</f>
        <v/>
      </c>
      <c r="E31" s="4" t="str">
        <f t="shared" ref="E31:E33" si="5">IF(B31="","",IF($I$4="ESTAMPACION LOCALIZADA","PULPO AT",IF($I$4="SUBLIMACION LOCALIZADA","CALANDRA 1","")))</f>
        <v/>
      </c>
      <c r="F31" s="24" t="str">
        <f t="shared" ref="F31:F33" si="6">IF(B31="","",IF($I$4="ESTAMPACION LOCALIZADA","165°C",IF($I$4="SUBLIMACION LOCALIZADA","190°C","")))</f>
        <v/>
      </c>
      <c r="G31" s="24" t="str">
        <f t="shared" ref="G31:G32" si="7">IF(B31="","",IF($I$4="ESTAMPACION LOCALIZADA","6.5/40 sg",IF($I$4="SUBLIMACION LOCALIZADA","2 sg","")))</f>
        <v/>
      </c>
      <c r="H31" s="328"/>
      <c r="I31" s="328"/>
      <c r="J31" s="328"/>
      <c r="K31" s="331"/>
      <c r="L31" s="201"/>
    </row>
    <row r="32" spans="1:20" ht="16">
      <c r="A32" s="193"/>
      <c r="B32" s="177"/>
      <c r="C32" s="177"/>
      <c r="D32" s="24" t="str">
        <f t="shared" si="4"/>
        <v/>
      </c>
      <c r="E32" s="4" t="str">
        <f t="shared" si="5"/>
        <v/>
      </c>
      <c r="F32" s="24" t="str">
        <f t="shared" si="6"/>
        <v/>
      </c>
      <c r="G32" s="24" t="str">
        <f t="shared" si="7"/>
        <v/>
      </c>
      <c r="H32" s="328"/>
      <c r="I32" s="328"/>
      <c r="J32" s="328"/>
      <c r="K32" s="331"/>
      <c r="L32" s="196"/>
    </row>
    <row r="33" spans="1:17" ht="14.5" customHeight="1" thickBot="1">
      <c r="A33" s="193"/>
      <c r="B33" s="177"/>
      <c r="C33" s="177"/>
      <c r="D33" s="24" t="str">
        <f t="shared" si="4"/>
        <v/>
      </c>
      <c r="E33" s="4" t="str">
        <f t="shared" si="5"/>
        <v/>
      </c>
      <c r="F33" s="24" t="str">
        <f t="shared" si="6"/>
        <v/>
      </c>
      <c r="G33" s="24" t="str">
        <f t="shared" ref="G33" si="8">IF(B33="","",IF($I$4="ESTAMPACION LOCALIZADA","6.5/40 sg",IF($I$4="SUBLIMACION LOCALIZADA","2 sg","")))</f>
        <v/>
      </c>
      <c r="H33" s="328"/>
      <c r="I33" s="328"/>
      <c r="J33" s="328"/>
      <c r="K33" s="331"/>
    </row>
    <row r="34" spans="1:17" ht="21" customHeight="1">
      <c r="A34" s="385"/>
      <c r="B34" s="386"/>
      <c r="C34" s="336" t="s">
        <v>1</v>
      </c>
      <c r="D34" s="336"/>
      <c r="E34" s="336"/>
      <c r="F34" s="336"/>
      <c r="G34" s="336"/>
      <c r="H34" s="336"/>
      <c r="I34" s="164" t="s">
        <v>181</v>
      </c>
      <c r="J34" s="341" t="s">
        <v>211</v>
      </c>
      <c r="K34" s="342"/>
      <c r="M34" s="308" t="s">
        <v>115</v>
      </c>
      <c r="N34" s="308"/>
      <c r="O34" s="311"/>
      <c r="P34" s="312"/>
      <c r="Q34" s="312"/>
    </row>
    <row r="35" spans="1:17" ht="16">
      <c r="A35" s="387"/>
      <c r="B35" s="388"/>
      <c r="C35" s="337"/>
      <c r="D35" s="337"/>
      <c r="E35" s="337"/>
      <c r="F35" s="337"/>
      <c r="G35" s="337"/>
      <c r="H35" s="337"/>
      <c r="I35" s="195">
        <v>45314</v>
      </c>
      <c r="J35" s="380" t="s">
        <v>0</v>
      </c>
      <c r="K35" s="381"/>
      <c r="M35" s="308"/>
      <c r="N35" s="308"/>
      <c r="O35" s="311"/>
      <c r="P35" s="312"/>
      <c r="Q35" s="312"/>
    </row>
    <row r="36" spans="1:17" ht="16" customHeight="1">
      <c r="A36" s="354" t="s">
        <v>2</v>
      </c>
      <c r="B36" s="359">
        <f>B3</f>
        <v>0</v>
      </c>
      <c r="C36" s="360"/>
      <c r="D36" s="363" t="s">
        <v>3</v>
      </c>
      <c r="E36" s="365">
        <f>E3</f>
        <v>0</v>
      </c>
      <c r="F36" s="367" t="s">
        <v>4</v>
      </c>
      <c r="G36" s="320">
        <f>G3</f>
        <v>0</v>
      </c>
      <c r="H36" s="56" t="s">
        <v>5</v>
      </c>
      <c r="I36" s="382">
        <f>I3</f>
        <v>0</v>
      </c>
      <c r="J36" s="383"/>
      <c r="K36" s="384"/>
      <c r="M36" s="325" t="str">
        <f>IF(AND(I37="SUBLIMACION LOCALIZADA",J38="ISOTIPO",A64="VINILO LIV"),"NO APTO",IF(AND(I37="SUBLIMACION LOCALIZADA",J38="ESTAMPADO",A64="VINILO LIV"),"NO APTO",IF(AND(I37="ESTAMPACION LOCALIZADA",J38="ESTAMPADO",A64="VINILO LIV"),"NO APTO",IF(AND(I37="SUBLIMACION LOCALIZADA",J38="ESTAMPADO"),"NO APTO",IF(AND(I37="SUBLIMACION LOCALIZADA",J38="ISOTIPO",A64=""),"NO APTO",IF(AND(I37="ESTAMPACION LOCALIZADA",J38="ISOTIPO",A64=""),"",IF(AND(I37="ESTAMPACION LOCALIZADA",J38="ISOTIPO",A64&lt;&gt;"VINILO LIV"),"NO APTO",IF(I37="ESTAMPACION LOCALIZADA",'PLANTILLA COSTO 2'!C69*F40,IF(I37="SUBLIMACION LOCALIZADA",'COSTOS SUBLIMACION'!E42,"")))))))))</f>
        <v/>
      </c>
      <c r="N36" s="325"/>
      <c r="O36" s="311"/>
      <c r="P36" s="312"/>
      <c r="Q36" s="312"/>
    </row>
    <row r="37" spans="1:17" ht="16" customHeight="1">
      <c r="A37" s="355"/>
      <c r="B37" s="361"/>
      <c r="C37" s="362"/>
      <c r="D37" s="364"/>
      <c r="E37" s="366"/>
      <c r="F37" s="368"/>
      <c r="G37" s="321"/>
      <c r="H37" s="56" t="s">
        <v>51</v>
      </c>
      <c r="I37" s="322"/>
      <c r="J37" s="323"/>
      <c r="K37" s="324"/>
      <c r="M37" s="325"/>
      <c r="N37" s="325"/>
      <c r="O37" s="311"/>
      <c r="P37" s="312"/>
      <c r="Q37" s="312"/>
    </row>
    <row r="38" spans="1:17" ht="16">
      <c r="A38" s="162" t="s">
        <v>6</v>
      </c>
      <c r="B38" s="177">
        <f>B5</f>
        <v>0</v>
      </c>
      <c r="C38" s="163" t="s">
        <v>180</v>
      </c>
      <c r="D38" s="356">
        <f>D5</f>
        <v>0</v>
      </c>
      <c r="E38" s="356"/>
      <c r="F38" s="163" t="s">
        <v>70</v>
      </c>
      <c r="G38" s="357">
        <f>G5</f>
        <v>0</v>
      </c>
      <c r="H38" s="358"/>
      <c r="I38" s="233" t="s">
        <v>276</v>
      </c>
      <c r="J38" s="375"/>
      <c r="K38" s="376"/>
    </row>
    <row r="39" spans="1:17" ht="20">
      <c r="A39" s="161" t="s">
        <v>45</v>
      </c>
      <c r="B39" s="369"/>
      <c r="C39" s="369"/>
      <c r="D39" s="369"/>
      <c r="E39" s="370"/>
      <c r="F39" s="370"/>
      <c r="G39" s="369"/>
      <c r="H39" s="241" t="s">
        <v>46</v>
      </c>
      <c r="I39" s="377" t="str">
        <f>IFERROR(VLOOKUP(B39,DATOS!B:E,4,0),"")</f>
        <v/>
      </c>
      <c r="J39" s="378"/>
      <c r="K39" s="379"/>
    </row>
    <row r="40" spans="1:17" ht="16">
      <c r="A40" s="168" t="s">
        <v>44</v>
      </c>
      <c r="B40" s="375"/>
      <c r="C40" s="375"/>
      <c r="D40" s="375"/>
      <c r="E40" s="167" t="s">
        <v>43</v>
      </c>
      <c r="F40" s="178"/>
      <c r="G40" s="348" t="s">
        <v>107</v>
      </c>
      <c r="H40" s="348"/>
      <c r="I40" s="176"/>
      <c r="J40" s="166" t="s">
        <v>27</v>
      </c>
      <c r="K40" s="175"/>
    </row>
    <row r="41" spans="1:17" ht="16">
      <c r="A41" s="169" t="s">
        <v>114</v>
      </c>
      <c r="B41" s="177"/>
      <c r="C41" s="349" t="s">
        <v>49</v>
      </c>
      <c r="D41" s="349"/>
      <c r="E41" s="24" t="str">
        <f>IF(D64="","",SUM(D64:D67))</f>
        <v/>
      </c>
      <c r="F41" s="350" t="s">
        <v>105</v>
      </c>
      <c r="G41" s="350"/>
      <c r="H41" s="185" t="str">
        <f>IF(B39="","",SUM(B59:B61,D64:D67))</f>
        <v/>
      </c>
      <c r="I41" s="225" t="s">
        <v>271</v>
      </c>
      <c r="J41" s="356"/>
      <c r="K41" s="374"/>
    </row>
    <row r="42" spans="1:17">
      <c r="A42" s="353" t="s">
        <v>209</v>
      </c>
      <c r="B42" s="351"/>
      <c r="C42" s="351"/>
      <c r="D42" s="351"/>
      <c r="E42" s="351"/>
      <c r="F42" s="351" t="s">
        <v>210</v>
      </c>
      <c r="G42" s="351"/>
      <c r="H42" s="351"/>
      <c r="I42" s="351"/>
      <c r="J42" s="351"/>
      <c r="K42" s="352"/>
    </row>
    <row r="43" spans="1:17" ht="1" customHeight="1">
      <c r="A43" s="353"/>
      <c r="B43" s="351"/>
      <c r="C43" s="351"/>
      <c r="D43" s="351"/>
      <c r="E43" s="351"/>
      <c r="F43" s="351"/>
      <c r="G43" s="351"/>
      <c r="H43" s="351"/>
      <c r="I43" s="351"/>
      <c r="J43" s="351"/>
      <c r="K43" s="352"/>
    </row>
    <row r="44" spans="1:17" ht="15.5" customHeight="1">
      <c r="A44" s="203" t="s">
        <v>217</v>
      </c>
      <c r="B44" s="177"/>
      <c r="C44" s="371" t="s">
        <v>218</v>
      </c>
      <c r="D44" s="372"/>
      <c r="E44" s="177"/>
      <c r="F44" s="186"/>
      <c r="K44" s="15"/>
      <c r="M44" s="306" t="str">
        <f>IF(B41="SI","RECUERDA QUE EL COSTO DEL ALTA DENSIDAD INCLUYE MANO DE OBRA E INSUMO","")</f>
        <v/>
      </c>
      <c r="N44" s="306"/>
    </row>
    <row r="45" spans="1:17" ht="15.5" customHeight="1">
      <c r="A45" s="204"/>
      <c r="B45" s="205"/>
      <c r="C45" s="205"/>
      <c r="D45" s="205"/>
      <c r="E45" s="206"/>
      <c r="F45" s="186"/>
      <c r="K45" s="15"/>
      <c r="M45" s="306"/>
      <c r="N45" s="306"/>
    </row>
    <row r="46" spans="1:17" ht="15.5" customHeight="1">
      <c r="A46" s="204"/>
      <c r="B46" s="205"/>
      <c r="C46" s="205"/>
      <c r="D46" s="205"/>
      <c r="E46" s="206"/>
      <c r="F46" s="186"/>
      <c r="K46" s="15"/>
      <c r="L46" s="5" t="str">
        <f>RIGHT(B39,8)</f>
        <v/>
      </c>
      <c r="M46" s="306"/>
      <c r="N46" s="306"/>
    </row>
    <row r="47" spans="1:17" ht="15.5" customHeight="1">
      <c r="A47" s="204"/>
      <c r="B47" s="205"/>
      <c r="C47" s="205"/>
      <c r="D47" s="205"/>
      <c r="E47" s="206"/>
      <c r="F47" s="186"/>
      <c r="K47" s="15"/>
      <c r="L47" s="5" t="str">
        <f>IFERROR(VLOOKUP(B39,DATOS!B:E,2,FALSE),"")</f>
        <v/>
      </c>
      <c r="M47" s="306"/>
      <c r="N47" s="306"/>
    </row>
    <row r="48" spans="1:17" ht="30" customHeight="1">
      <c r="A48" s="204"/>
      <c r="B48" s="205"/>
      <c r="C48" s="205"/>
      <c r="D48" s="205"/>
      <c r="E48" s="206"/>
      <c r="F48" s="186"/>
      <c r="K48" s="15"/>
      <c r="L48" s="5" t="str">
        <f>RIGHT(I36,9)</f>
        <v>0</v>
      </c>
      <c r="M48" s="306"/>
      <c r="N48" s="306"/>
    </row>
    <row r="49" spans="1:14" ht="32.5" customHeight="1">
      <c r="A49" s="170"/>
      <c r="B49" s="196"/>
      <c r="F49" s="186"/>
      <c r="K49" s="15"/>
      <c r="L49" s="5" t="str">
        <f>RIGHT(I37,25)</f>
        <v/>
      </c>
      <c r="M49" s="306" t="str">
        <f>IF(K40="SI","RECUERDA QUE EL COSTO DEL FOIL INCLUYE MANO PERO NO EL INSUMO","")</f>
        <v/>
      </c>
      <c r="N49" s="306"/>
    </row>
    <row r="50" spans="1:14" ht="26" customHeight="1">
      <c r="A50" s="343"/>
      <c r="B50" s="344"/>
      <c r="C50" s="197"/>
      <c r="D50" s="197"/>
      <c r="F50" s="186"/>
      <c r="K50" s="15"/>
      <c r="L50" s="5" t="str">
        <f>RIGHT(J38,10)</f>
        <v/>
      </c>
      <c r="M50" s="306"/>
      <c r="N50" s="306"/>
    </row>
    <row r="51" spans="1:14" ht="16" customHeight="1">
      <c r="A51" s="226"/>
      <c r="B51" s="227"/>
      <c r="C51" s="197"/>
      <c r="D51" s="197"/>
      <c r="F51" s="186"/>
      <c r="K51" s="15"/>
      <c r="M51" s="306"/>
      <c r="N51" s="306"/>
    </row>
    <row r="52" spans="1:14" ht="26" customHeight="1">
      <c r="A52" s="226"/>
      <c r="B52" s="227"/>
      <c r="C52" s="197"/>
      <c r="D52" s="197"/>
      <c r="F52" s="186"/>
      <c r="K52" s="15"/>
      <c r="M52" s="306" t="str">
        <f>IF(J38="ISOTIPO","RECUERDA QUE EL COSTO DEL ISOTIPO INCLUYE INSUMO Y MANO DE OBRA","")</f>
        <v/>
      </c>
      <c r="N52" s="306"/>
    </row>
    <row r="53" spans="1:14" ht="16" customHeight="1">
      <c r="A53" s="345"/>
      <c r="B53" s="313"/>
      <c r="C53" s="197"/>
      <c r="D53" s="197"/>
      <c r="F53" s="186"/>
      <c r="K53" s="15"/>
      <c r="M53" s="306"/>
      <c r="N53" s="306"/>
    </row>
    <row r="54" spans="1:14" ht="16" customHeight="1">
      <c r="A54" s="346"/>
      <c r="B54" s="347"/>
      <c r="C54" s="198"/>
      <c r="D54" s="198"/>
      <c r="F54" s="186"/>
      <c r="K54" s="15"/>
      <c r="M54" s="306"/>
      <c r="N54" s="306"/>
    </row>
    <row r="55" spans="1:14" ht="16" customHeight="1">
      <c r="A55" s="174" t="s">
        <v>110</v>
      </c>
      <c r="B55" s="177"/>
      <c r="C55" s="198"/>
      <c r="D55" s="198"/>
      <c r="F55" s="186"/>
      <c r="K55" s="15"/>
      <c r="M55" s="306"/>
      <c r="N55" s="306"/>
    </row>
    <row r="56" spans="1:14" ht="16" customHeight="1">
      <c r="A56" s="174" t="s">
        <v>109</v>
      </c>
      <c r="B56" s="177"/>
      <c r="C56" s="198"/>
      <c r="D56" s="198"/>
      <c r="E56" s="199"/>
      <c r="F56" s="318"/>
      <c r="G56" s="319"/>
      <c r="H56" s="338"/>
      <c r="I56" s="338"/>
      <c r="J56" s="200"/>
      <c r="K56" s="62"/>
      <c r="M56" s="306"/>
      <c r="N56" s="306"/>
    </row>
    <row r="57" spans="1:14" ht="16" customHeight="1">
      <c r="A57" s="174" t="s">
        <v>32</v>
      </c>
      <c r="B57" s="178"/>
      <c r="C57" s="198"/>
      <c r="D57" s="198"/>
      <c r="E57" s="201"/>
      <c r="F57" s="187"/>
      <c r="G57" s="201"/>
      <c r="H57" s="339"/>
      <c r="I57" s="339"/>
      <c r="J57" s="339"/>
      <c r="K57" s="340"/>
      <c r="M57" s="306" t="str">
        <f>IF(OR(L48="AZZ KIDS",L48="KIDS NIÑO",L48="KIDS NIÑA"),"RECUERDE QUE A LAS REF DE KIDS TIENE UN COSTO ADICIONAL DE SUAVIZADO","")</f>
        <v/>
      </c>
      <c r="N57" s="306"/>
    </row>
    <row r="58" spans="1:14" ht="15" customHeight="1">
      <c r="A58" s="54" t="s">
        <v>48</v>
      </c>
      <c r="B58" s="55" t="s">
        <v>184</v>
      </c>
      <c r="C58" s="55" t="s">
        <v>28</v>
      </c>
      <c r="D58" s="55" t="s">
        <v>50</v>
      </c>
      <c r="E58" s="183" t="s">
        <v>118</v>
      </c>
      <c r="F58" s="47"/>
      <c r="G58" s="39"/>
      <c r="H58" s="39"/>
      <c r="I58" s="202"/>
      <c r="J58" s="202"/>
      <c r="K58" s="61"/>
      <c r="M58" s="306"/>
      <c r="N58" s="306"/>
    </row>
    <row r="59" spans="1:14" ht="16" customHeight="1">
      <c r="A59" s="65" t="str">
        <f>IF(K40="SI","PEGA FOIL",IF(J38="ISOTIPO","",IF(B39="","",IF(AND(L47="KIOTO",I39="MEDIO"),"BLANCO COTTON",IF(AND(L47="KIOTO",I39="OSCURO"),"BLANCO COTTON",IF(AND(L47="KIOTO",I39="CLARO"),"",IF(I39="MEDIO","BLOCKING",IF(I39="OSCURO","BLOCKING",IF(I39="CLARO","")))))))))</f>
        <v/>
      </c>
      <c r="B59" s="24" t="str">
        <f>IF(A59="","",IF(A59="NA","NA",1))</f>
        <v/>
      </c>
      <c r="C59" s="4" t="str">
        <f>IF(B59="","",IF($I$4="SUBLIMACION LOCALIZADA","CALANDRA 1",IF($I$4="ESTAMPACION LOCALIZADA","PULPO AT","")))</f>
        <v/>
      </c>
      <c r="D59" s="24" t="str">
        <f>IF(C59="CALANDRA 1","190°C",IF(C59="PULPO AT","165°C",""))</f>
        <v/>
      </c>
      <c r="E59" s="184" t="str">
        <f>IF(C59="CALANDRA 1","2sg",IF(C59="PULPO AT","6.5/40 sg",""))</f>
        <v/>
      </c>
      <c r="F59" s="186"/>
      <c r="I59" s="202"/>
      <c r="J59" s="202"/>
      <c r="K59" s="61"/>
      <c r="M59" s="306"/>
      <c r="N59" s="306"/>
    </row>
    <row r="60" spans="1:14" ht="16">
      <c r="A60" s="65" t="str">
        <f>IF(K40="SI","",IF(J38="ISOTIPO","",IF(B39="","",IF(AND(L47="KIOTO",I39="MEDIO"),"BLANCO",IF(AND(L47="KIOTO",I39="OSCURO"),"BLANCO",IF(AND(L47="KIOTO",I39="CLARO"),"",IF(I39="MEDIO","",IF(I39="OSCURO","",IF(I39="CLARO","")))))))))</f>
        <v/>
      </c>
      <c r="B60" s="24" t="str">
        <f t="shared" ref="B60:B61" si="9">IF(A60="","",IF(A60="NA","NA",1))</f>
        <v/>
      </c>
      <c r="C60" s="4" t="str">
        <f t="shared" ref="C60:C61" si="10">IF(B60="","",IF($I$4="SUBLIMACION LOCALIZADA","CALANDRA 1",IF($I$4="ESTAMPACION LOCALIZADA","PULPO AT","")))</f>
        <v/>
      </c>
      <c r="D60" s="24" t="str">
        <f t="shared" ref="D60:D61" si="11">IF(C60="CALANDRA 1","190°C",IF(C60="PULPO AT","165°C",""))</f>
        <v/>
      </c>
      <c r="E60" s="184" t="str">
        <f t="shared" ref="E60:E61" si="12">IF(C60="CALANDRA 1","2sg",IF(C60="PULPO AT","6.5/40 sg",""))</f>
        <v/>
      </c>
      <c r="F60" s="186"/>
      <c r="I60" s="202"/>
      <c r="J60" s="202"/>
      <c r="K60" s="61"/>
      <c r="M60" s="306"/>
      <c r="N60" s="306"/>
    </row>
    <row r="61" spans="1:14" ht="16">
      <c r="A61" s="66" t="str">
        <f>IF(K40="SI","",IF(J38="ISOTIPO","",IF(B39="","",IF(AND(L47="KIOTO",I39="MEDIO"),"",IF(AND(L47="KIOTO",I39="OSCURO"),"",IF(AND(L47="KIOTO",I39="CLARO"),"",IF(I39="MEDIO","",IF(I39="OSCURO","",IF(I39="CLARO","")))))))))</f>
        <v/>
      </c>
      <c r="B61" s="40" t="str">
        <f t="shared" si="9"/>
        <v/>
      </c>
      <c r="C61" s="4" t="str">
        <f t="shared" si="10"/>
        <v/>
      </c>
      <c r="D61" s="24" t="str">
        <f t="shared" si="11"/>
        <v/>
      </c>
      <c r="E61" s="184" t="str">
        <f t="shared" si="12"/>
        <v/>
      </c>
      <c r="F61" s="189"/>
      <c r="G61" s="190"/>
      <c r="H61" s="190"/>
      <c r="I61" s="188"/>
      <c r="J61" s="188"/>
      <c r="K61" s="191"/>
      <c r="M61" s="306"/>
      <c r="N61" s="306"/>
    </row>
    <row r="62" spans="1:14">
      <c r="A62" s="46"/>
      <c r="B62" s="41"/>
      <c r="C62" s="41"/>
      <c r="D62" s="41"/>
      <c r="E62" s="41"/>
      <c r="F62" s="5"/>
      <c r="G62" s="5"/>
      <c r="H62" s="5"/>
      <c r="I62" s="202"/>
      <c r="J62" s="202"/>
      <c r="K62" s="61"/>
    </row>
    <row r="63" spans="1:14">
      <c r="A63" s="51" t="s">
        <v>25</v>
      </c>
      <c r="B63" s="48" t="s">
        <v>29</v>
      </c>
      <c r="C63" s="48" t="s">
        <v>179</v>
      </c>
      <c r="D63" s="49" t="s">
        <v>184</v>
      </c>
      <c r="E63" s="50" t="s">
        <v>28</v>
      </c>
      <c r="F63" s="49" t="s">
        <v>50</v>
      </c>
      <c r="G63" s="49" t="s">
        <v>108</v>
      </c>
      <c r="H63" s="317" t="s">
        <v>121</v>
      </c>
      <c r="I63" s="317"/>
      <c r="J63" s="329" t="s">
        <v>177</v>
      </c>
      <c r="K63" s="330"/>
    </row>
    <row r="64" spans="1:14" ht="16">
      <c r="A64" s="193"/>
      <c r="B64" s="177"/>
      <c r="C64" s="177"/>
      <c r="D64" s="24" t="str">
        <f>IF(B64="","",IF(A64="NA","NA",1))</f>
        <v/>
      </c>
      <c r="E64" s="4" t="str">
        <f>IF(B64="","",IF($I$4="ESTAMPACION LOCALIZADA","PULPO AT",IF($I$4="SUBLIMACION LOCALIZADA","CALANDRA 1","")))</f>
        <v/>
      </c>
      <c r="F64" s="24" t="str">
        <f>IF(B64="","",IF($I$4="ESTAMPACION LOCALIZADA","165°C",IF($I$4="SUBLIMACION LOCALIZADA","190°C","")))</f>
        <v/>
      </c>
      <c r="G64" s="24" t="str">
        <f>IF(B64="","",IF($I$4="ESTAMPACION LOCALIZADA","6.5/40 sg",IF($I$4="SUBLIMACION LOCALIZADA","2 sg","")))</f>
        <v/>
      </c>
      <c r="H64" s="317"/>
      <c r="I64" s="317"/>
      <c r="J64" s="329"/>
      <c r="K64" s="330"/>
    </row>
    <row r="65" spans="1:16" ht="16">
      <c r="A65" s="193"/>
      <c r="B65" s="177"/>
      <c r="C65" s="177"/>
      <c r="D65" s="24" t="str">
        <f t="shared" ref="D65:D67" si="13">IF(B65="","",IF(A65="NA","NA",1))</f>
        <v/>
      </c>
      <c r="E65" s="4" t="str">
        <f t="shared" ref="E65:E66" si="14">IF(B65="","",IF($I$4="ESTAMPACION LOCALIZADA","PULPO AT",IF($I$4="SUBLIMACION LOCALIZADA","CALANDRA 1","")))</f>
        <v/>
      </c>
      <c r="F65" s="24" t="str">
        <f t="shared" ref="F65:F67" si="15">IF(B65="","",IF($I$4="ESTAMPACION LOCALIZADA","165°C",IF($I$4="SUBLIMACION LOCALIZADA","190°C","")))</f>
        <v/>
      </c>
      <c r="G65" s="24" t="str">
        <f t="shared" ref="G65:G67" si="16">IF(B65="","",IF($I$4="ESTAMPACION LOCALIZADA","6.5/40 sg",IF($I$4="SUBLIMACION LOCALIZADA","2 sg","")))</f>
        <v/>
      </c>
      <c r="H65" s="328"/>
      <c r="I65" s="328"/>
      <c r="J65" s="328"/>
      <c r="K65" s="331"/>
    </row>
    <row r="66" spans="1:16" ht="16">
      <c r="A66" s="193"/>
      <c r="B66" s="177"/>
      <c r="C66" s="177"/>
      <c r="D66" s="24" t="str">
        <f t="shared" si="13"/>
        <v/>
      </c>
      <c r="E66" s="4" t="str">
        <f t="shared" si="14"/>
        <v/>
      </c>
      <c r="F66" s="24" t="str">
        <f t="shared" si="15"/>
        <v/>
      </c>
      <c r="G66" s="24" t="str">
        <f t="shared" si="16"/>
        <v/>
      </c>
      <c r="H66" s="328"/>
      <c r="I66" s="328"/>
      <c r="J66" s="328"/>
      <c r="K66" s="331"/>
    </row>
    <row r="67" spans="1:16" ht="17" thickBot="1">
      <c r="A67" s="193"/>
      <c r="B67" s="177"/>
      <c r="C67" s="177"/>
      <c r="D67" s="24" t="str">
        <f t="shared" si="13"/>
        <v/>
      </c>
      <c r="E67" s="4" t="str">
        <f t="shared" ref="E67" si="17">IF(A67="","",IF($I$4="ESTAMPACION LOCALIZADA","PULPO AUTO",IF($I$4="SUBLIMACION LOCALIZADA","CALANDRA 1","")))</f>
        <v/>
      </c>
      <c r="F67" s="24" t="str">
        <f t="shared" si="15"/>
        <v/>
      </c>
      <c r="G67" s="24" t="str">
        <f t="shared" si="16"/>
        <v/>
      </c>
      <c r="H67" s="328"/>
      <c r="I67" s="328"/>
      <c r="J67" s="328"/>
      <c r="K67" s="331"/>
    </row>
    <row r="68" spans="1:16" ht="14" customHeight="1">
      <c r="A68" s="385"/>
      <c r="B68" s="386"/>
      <c r="C68" s="336" t="s">
        <v>1</v>
      </c>
      <c r="D68" s="336"/>
      <c r="E68" s="336"/>
      <c r="F68" s="336"/>
      <c r="G68" s="336"/>
      <c r="H68" s="336"/>
      <c r="I68" s="164" t="s">
        <v>181</v>
      </c>
      <c r="J68" s="341" t="s">
        <v>211</v>
      </c>
      <c r="K68" s="342"/>
      <c r="M68" s="308" t="s">
        <v>115</v>
      </c>
      <c r="N68" s="308"/>
      <c r="O68" s="311"/>
      <c r="P68" s="312"/>
    </row>
    <row r="69" spans="1:16" ht="15.5" customHeight="1">
      <c r="A69" s="387"/>
      <c r="B69" s="388"/>
      <c r="C69" s="337"/>
      <c r="D69" s="337"/>
      <c r="E69" s="337"/>
      <c r="F69" s="337"/>
      <c r="G69" s="337"/>
      <c r="H69" s="337"/>
      <c r="I69" s="195">
        <v>45314</v>
      </c>
      <c r="J69" s="380" t="s">
        <v>0</v>
      </c>
      <c r="K69" s="381"/>
      <c r="M69" s="308"/>
      <c r="N69" s="308"/>
      <c r="O69" s="311"/>
      <c r="P69" s="312"/>
    </row>
    <row r="70" spans="1:16" ht="15.5" customHeight="1">
      <c r="A70" s="354" t="s">
        <v>2</v>
      </c>
      <c r="B70" s="359">
        <f>B36</f>
        <v>0</v>
      </c>
      <c r="C70" s="360"/>
      <c r="D70" s="363" t="s">
        <v>3</v>
      </c>
      <c r="E70" s="365">
        <f>E36</f>
        <v>0</v>
      </c>
      <c r="F70" s="367" t="s">
        <v>4</v>
      </c>
      <c r="G70" s="320">
        <f>G36</f>
        <v>0</v>
      </c>
      <c r="H70" s="56" t="s">
        <v>5</v>
      </c>
      <c r="I70" s="382">
        <f>I36</f>
        <v>0</v>
      </c>
      <c r="J70" s="383"/>
      <c r="K70" s="384"/>
      <c r="M70" s="325" t="str">
        <f>IF(AND(I71="SUBLIMACION LOCALIZADA",J72="ISOTIPO",A98="VINILO LIV"),"NO APTO",IF(AND(I71="SUBLIMACION LOCALIZADA",J72="ESTAMPADO",A98="VINILO LIV"),"NO APTO",IF(AND(I71="ESTAMPACION LOCALIZADA",J72="ESTAMPADO",A98="VINILO LIV"),"NO APTO",IF(AND(I71="SUBLIMACION LOCALIZADA",J72="ESTAMPADO"),"NO APTO",IF(AND(I71="SUBLIMACION LOCALIZADA",J72="ISOTIPO",A98=""),"NO APTO",IF(AND(I71="ESTAMPACION LOCALIZADA",J72="ISOTIPO",A98=""),"",IF(AND(I71="ESTAMPACION LOCALIZADA",J72="ISOTIPO",A98&lt;&gt;"VINILO LIV"),"NO APTO",IF(I71="ESTAMPACION LOCALIZADA",'PLANTILLA COSTO 3'!C69*F74,IF(I71="SUBLIMACION LOCALIZADA",'COSTOS SUBLIMACION'!H42,"")))))))))</f>
        <v/>
      </c>
      <c r="N70" s="325"/>
      <c r="O70" s="311"/>
      <c r="P70" s="312"/>
    </row>
    <row r="71" spans="1:16" ht="15.5" customHeight="1">
      <c r="A71" s="355"/>
      <c r="B71" s="361"/>
      <c r="C71" s="362"/>
      <c r="D71" s="364"/>
      <c r="E71" s="366"/>
      <c r="F71" s="368"/>
      <c r="G71" s="321"/>
      <c r="H71" s="56" t="s">
        <v>51</v>
      </c>
      <c r="I71" s="322"/>
      <c r="J71" s="323"/>
      <c r="K71" s="324"/>
      <c r="M71" s="325"/>
      <c r="N71" s="325"/>
      <c r="O71" s="311"/>
      <c r="P71" s="312"/>
    </row>
    <row r="72" spans="1:16" ht="16">
      <c r="A72" s="162" t="s">
        <v>6</v>
      </c>
      <c r="B72" s="177">
        <f>B38</f>
        <v>0</v>
      </c>
      <c r="C72" s="163" t="s">
        <v>180</v>
      </c>
      <c r="D72" s="356">
        <f>D38</f>
        <v>0</v>
      </c>
      <c r="E72" s="356"/>
      <c r="F72" s="163" t="s">
        <v>70</v>
      </c>
      <c r="G72" s="357">
        <f>G38</f>
        <v>0</v>
      </c>
      <c r="H72" s="358"/>
      <c r="I72" s="233" t="s">
        <v>276</v>
      </c>
      <c r="J72" s="375"/>
      <c r="K72" s="376"/>
    </row>
    <row r="73" spans="1:16" ht="20">
      <c r="A73" s="161" t="s">
        <v>45</v>
      </c>
      <c r="B73" s="369"/>
      <c r="C73" s="369"/>
      <c r="D73" s="369"/>
      <c r="E73" s="370"/>
      <c r="F73" s="370"/>
      <c r="G73" s="369"/>
      <c r="H73" s="241" t="s">
        <v>46</v>
      </c>
      <c r="I73" s="377" t="str">
        <f>IFERROR(VLOOKUP(B73,DATOS!B:E,4,0),"")</f>
        <v/>
      </c>
      <c r="J73" s="378"/>
      <c r="K73" s="379"/>
    </row>
    <row r="74" spans="1:16" ht="16">
      <c r="A74" s="168" t="s">
        <v>44</v>
      </c>
      <c r="B74" s="375"/>
      <c r="C74" s="375"/>
      <c r="D74" s="375"/>
      <c r="E74" s="167" t="s">
        <v>43</v>
      </c>
      <c r="F74" s="178"/>
      <c r="G74" s="348" t="s">
        <v>107</v>
      </c>
      <c r="H74" s="348"/>
      <c r="I74" s="176"/>
      <c r="J74" s="166" t="s">
        <v>27</v>
      </c>
      <c r="K74" s="175"/>
    </row>
    <row r="75" spans="1:16" ht="16">
      <c r="A75" s="169" t="s">
        <v>114</v>
      </c>
      <c r="B75" s="177"/>
      <c r="C75" s="349" t="s">
        <v>49</v>
      </c>
      <c r="D75" s="349"/>
      <c r="E75" s="24" t="str">
        <f>IF(D98="","",SUM(D98:D101))</f>
        <v/>
      </c>
      <c r="F75" s="350" t="s">
        <v>105</v>
      </c>
      <c r="G75" s="350"/>
      <c r="H75" s="185" t="str">
        <f>IF(B73="","",SUM(B93:B95,D98:D101))</f>
        <v/>
      </c>
      <c r="I75" s="225" t="s">
        <v>271</v>
      </c>
      <c r="J75" s="356"/>
      <c r="K75" s="374"/>
    </row>
    <row r="76" spans="1:16">
      <c r="A76" s="353" t="s">
        <v>209</v>
      </c>
      <c r="B76" s="351"/>
      <c r="C76" s="351"/>
      <c r="D76" s="351"/>
      <c r="E76" s="351"/>
      <c r="F76" s="351" t="s">
        <v>210</v>
      </c>
      <c r="G76" s="351"/>
      <c r="H76" s="351"/>
      <c r="I76" s="351"/>
      <c r="J76" s="351"/>
      <c r="K76" s="352"/>
    </row>
    <row r="77" spans="1:16" ht="1" customHeight="1">
      <c r="A77" s="353"/>
      <c r="B77" s="351"/>
      <c r="C77" s="351"/>
      <c r="D77" s="351"/>
      <c r="E77" s="351"/>
      <c r="F77" s="351"/>
      <c r="G77" s="351"/>
      <c r="H77" s="351"/>
      <c r="I77" s="351"/>
      <c r="J77" s="351"/>
      <c r="K77" s="352"/>
    </row>
    <row r="78" spans="1:16" ht="16">
      <c r="A78" s="203" t="s">
        <v>217</v>
      </c>
      <c r="B78" s="177"/>
      <c r="C78" s="371" t="s">
        <v>218</v>
      </c>
      <c r="D78" s="372"/>
      <c r="E78" s="177"/>
      <c r="F78" s="186"/>
      <c r="K78" s="15"/>
      <c r="M78" s="306" t="str">
        <f>IF(B75="SI","RECUERDA QUE EL COSTO DEL ALTA DENSIDAD INCLUYE MANO DE OBRA E INSUMO","")</f>
        <v/>
      </c>
      <c r="N78" s="306"/>
    </row>
    <row r="79" spans="1:16" ht="15.5" customHeight="1">
      <c r="A79" s="207"/>
      <c r="B79" s="208"/>
      <c r="C79" s="208"/>
      <c r="D79" s="208"/>
      <c r="E79" s="209"/>
      <c r="F79" s="186"/>
      <c r="K79" s="15"/>
      <c r="M79" s="306"/>
      <c r="N79" s="306"/>
    </row>
    <row r="80" spans="1:16" ht="15.5" customHeight="1">
      <c r="A80" s="210"/>
      <c r="B80" s="211"/>
      <c r="C80" s="211"/>
      <c r="D80" s="211"/>
      <c r="E80" s="212"/>
      <c r="F80" s="186"/>
      <c r="K80" s="15"/>
      <c r="L80" s="5" t="str">
        <f>RIGHT(B73,8)</f>
        <v/>
      </c>
      <c r="M80" s="306"/>
      <c r="N80" s="306"/>
    </row>
    <row r="81" spans="1:14" ht="15.5" customHeight="1">
      <c r="A81" s="210"/>
      <c r="B81" s="211"/>
      <c r="C81" s="211"/>
      <c r="D81" s="211"/>
      <c r="E81" s="212"/>
      <c r="F81" s="186"/>
      <c r="K81" s="15"/>
      <c r="L81" s="5" t="str">
        <f>IFERROR(VLOOKUP(B73,DATOS!B:E,2,FALSE),"")</f>
        <v/>
      </c>
      <c r="M81" s="306"/>
      <c r="N81" s="306"/>
    </row>
    <row r="82" spans="1:14" ht="15.5" customHeight="1">
      <c r="A82" s="210"/>
      <c r="B82" s="211"/>
      <c r="C82" s="211"/>
      <c r="D82" s="211"/>
      <c r="E82" s="212"/>
      <c r="F82" s="186"/>
      <c r="K82" s="15"/>
      <c r="L82" s="5" t="str">
        <f>RIGHT(I70,9)</f>
        <v>0</v>
      </c>
      <c r="M82" s="306"/>
      <c r="N82" s="306"/>
    </row>
    <row r="83" spans="1:14" ht="62.5" customHeight="1">
      <c r="A83" s="210"/>
      <c r="B83" s="211"/>
      <c r="C83" s="211"/>
      <c r="D83" s="211"/>
      <c r="E83" s="212"/>
      <c r="F83" s="186"/>
      <c r="K83" s="15"/>
      <c r="M83" s="306" t="str">
        <f>IF(K74="SI","RECUERDA QUE EL COSTO DEL FOIL INCLUYE MANO DE OBRA PERO NO EL INSUMO","")</f>
        <v/>
      </c>
      <c r="N83" s="306"/>
    </row>
    <row r="84" spans="1:14">
      <c r="A84" s="210"/>
      <c r="B84" s="211"/>
      <c r="C84" s="211"/>
      <c r="D84" s="211"/>
      <c r="E84" s="211"/>
      <c r="F84" s="186"/>
      <c r="K84" s="15"/>
      <c r="M84" s="306"/>
      <c r="N84" s="306"/>
    </row>
    <row r="85" spans="1:14">
      <c r="A85" s="210"/>
      <c r="B85" s="211"/>
      <c r="C85" s="211"/>
      <c r="D85" s="211"/>
      <c r="E85" s="211"/>
      <c r="F85" s="186"/>
      <c r="K85" s="15"/>
      <c r="M85" s="306"/>
      <c r="N85" s="306"/>
    </row>
    <row r="86" spans="1:14" ht="16">
      <c r="A86" s="343"/>
      <c r="B86" s="344"/>
      <c r="C86" s="197"/>
      <c r="D86" s="197"/>
      <c r="F86" s="186"/>
      <c r="K86" s="15"/>
      <c r="M86" s="307" t="str">
        <f>IF(J72="ISOTIPO","RECUERDA QUE EL COSTO DEL ISOTIPO INCLUYE INSUMO Y MANO DE OBRA","")</f>
        <v/>
      </c>
      <c r="N86" s="307"/>
    </row>
    <row r="87" spans="1:14" ht="25" customHeight="1">
      <c r="A87" s="345"/>
      <c r="B87" s="313"/>
      <c r="C87" s="197"/>
      <c r="D87" s="197"/>
      <c r="F87" s="186"/>
      <c r="K87" s="15"/>
      <c r="M87" s="307"/>
      <c r="N87" s="307"/>
    </row>
    <row r="88" spans="1:14" ht="25" customHeight="1">
      <c r="A88" s="346"/>
      <c r="B88" s="347"/>
      <c r="C88" s="198"/>
      <c r="D88" s="198"/>
      <c r="F88" s="186"/>
      <c r="K88" s="15"/>
      <c r="M88" s="307"/>
      <c r="N88" s="307"/>
    </row>
    <row r="89" spans="1:14" ht="17" customHeight="1">
      <c r="A89" s="174" t="s">
        <v>110</v>
      </c>
      <c r="B89" s="177"/>
      <c r="C89" s="198"/>
      <c r="D89" s="198"/>
      <c r="F89" s="186"/>
      <c r="K89" s="15"/>
      <c r="M89" s="307"/>
      <c r="N89" s="307"/>
    </row>
    <row r="90" spans="1:14" ht="16">
      <c r="A90" s="174" t="s">
        <v>109</v>
      </c>
      <c r="B90" s="177"/>
      <c r="C90" s="198"/>
      <c r="D90" s="198"/>
      <c r="E90" s="199"/>
      <c r="F90" s="318"/>
      <c r="G90" s="319"/>
      <c r="H90" s="338"/>
      <c r="I90" s="338"/>
      <c r="J90" s="200"/>
      <c r="K90" s="62"/>
      <c r="M90" s="307"/>
      <c r="N90" s="307"/>
    </row>
    <row r="91" spans="1:14" ht="16">
      <c r="A91" s="174" t="s">
        <v>32</v>
      </c>
      <c r="B91" s="178"/>
      <c r="C91" s="198"/>
      <c r="D91" s="198"/>
      <c r="E91" s="201"/>
      <c r="F91" s="187"/>
      <c r="G91" s="201"/>
      <c r="H91" s="339"/>
      <c r="I91" s="339"/>
      <c r="J91" s="339"/>
      <c r="K91" s="340"/>
      <c r="M91" s="306" t="str">
        <f>IF(OR(L82="AZZ KIDS",L82="KIDS NIÑO",L82="KIDS NIÑA"),"RECUERDE QUE A LAS REF DE KIDS TIENE UN COSTO ADICIONAL DE SUAVIZADO","")</f>
        <v/>
      </c>
      <c r="N91" s="306"/>
    </row>
    <row r="92" spans="1:14">
      <c r="A92" s="54" t="s">
        <v>48</v>
      </c>
      <c r="B92" s="55" t="s">
        <v>184</v>
      </c>
      <c r="C92" s="55" t="s">
        <v>28</v>
      </c>
      <c r="D92" s="55" t="s">
        <v>50</v>
      </c>
      <c r="E92" s="183" t="s">
        <v>118</v>
      </c>
      <c r="F92" s="47"/>
      <c r="G92" s="39"/>
      <c r="H92" s="39"/>
      <c r="I92" s="202"/>
      <c r="J92" s="202"/>
      <c r="K92" s="61"/>
      <c r="M92" s="306"/>
      <c r="N92" s="306"/>
    </row>
    <row r="93" spans="1:14" ht="16">
      <c r="A93" s="65" t="str">
        <f>IF(K74="SI","PEGA FOIL",IF(J72="ISOTIPO","",IF(B73="","",IF(AND(L81="KIOTO",I73="MEDIO"),"BLANCO COTTON",IF(AND(L81="KIOTO",I73="OSCURO"),"BLANCO COTTON",IF(AND(L81="KIOTO",I73="CLARO"),"",IF(I73="MEDIO","BLOCKING",IF(I73="OSCURO","BLOCKING",IF(I73="CLARO","")))))))))</f>
        <v/>
      </c>
      <c r="B93" s="24" t="str">
        <f>IF(A93="","",IF(A93="NA","NA",1))</f>
        <v/>
      </c>
      <c r="C93" s="4" t="str">
        <f>IF(B93="","",IF($I$4="SUBLIMACION LOCALIZADA","CALANDRA 1",IF($I$4="ESTAMPACION LOCALIZADA","PULPO AT","")))</f>
        <v/>
      </c>
      <c r="D93" s="4" t="str">
        <f>IF(C93="CALANDRA 1","190°C",IF(C93="PULPO AT","165°C",""))</f>
        <v/>
      </c>
      <c r="E93" s="224" t="str">
        <f>IF(C93="CALANDRA 1","2sg",IF(C93="PULPO AT","6.5/40 sg",""))</f>
        <v/>
      </c>
      <c r="F93" s="186"/>
      <c r="I93" s="202"/>
      <c r="J93" s="202"/>
      <c r="K93" s="61"/>
      <c r="M93" s="306"/>
      <c r="N93" s="306"/>
    </row>
    <row r="94" spans="1:14" ht="16">
      <c r="A94" s="65" t="str">
        <f>IF(K74="SI","",IF(J72="ISOTIPO","",IF(B73="","",IF(AND(L81="KIOTO",I73="MEDIO"),"BLANCO",IF(AND(L81="KIOTO",I73="OSCURO"),"BLANCO",IF(AND(L81="KIOTO",I73="CLARO"),"",IF(I73="MEDIO","",IF(I73="OSCURO","",IF(I73="CLARO","")))))))))</f>
        <v/>
      </c>
      <c r="B94" s="24" t="str">
        <f t="shared" ref="B94:B95" si="18">IF(A94="","",IF(A94="NA","NA",1))</f>
        <v/>
      </c>
      <c r="C94" s="4" t="str">
        <f t="shared" ref="C94:C95" si="19">IF(B94="","",IF($I$4="SUBLIMACION LOCALIZADA","CALANDRA 1",IF($I$4="ESTAMPACION LOCALIZADA","PULPO AT","")))</f>
        <v/>
      </c>
      <c r="D94" s="4" t="str">
        <f t="shared" ref="D94:D95" si="20">IF(C94="CALANDRA 1","190°C",IF(C94="PULPO AT","165°C",""))</f>
        <v/>
      </c>
      <c r="E94" s="224" t="str">
        <f t="shared" ref="E94:E95" si="21">IF(C94="CALANDRA 1","2sg",IF(C94="PULPO AT","6.5/40 sg",""))</f>
        <v/>
      </c>
      <c r="F94" s="186"/>
      <c r="I94" s="202"/>
      <c r="J94" s="202"/>
      <c r="K94" s="61"/>
      <c r="M94" s="306"/>
      <c r="N94" s="306"/>
    </row>
    <row r="95" spans="1:14">
      <c r="A95" s="66" t="str">
        <f>IF(K74="SI","",IF(J72="ISOTIPO","",IF(B73="","",IF(AND(L81="KIOTO",I73="MEDIO"),"",IF(AND(L81="KIOTO",I73="OSCURO"),"",IF(AND(L81="KIOTO",I73="CLARO"),"",IF(I73="MEDIO","",IF(I73="OSCURO","",IF(I73="CLARO","")))))))))</f>
        <v/>
      </c>
      <c r="B95" s="40" t="str">
        <f t="shared" si="18"/>
        <v/>
      </c>
      <c r="C95" s="4" t="str">
        <f t="shared" si="19"/>
        <v/>
      </c>
      <c r="D95" s="4" t="str">
        <f t="shared" si="20"/>
        <v/>
      </c>
      <c r="E95" s="224" t="str">
        <f t="shared" si="21"/>
        <v/>
      </c>
      <c r="F95" s="189"/>
      <c r="G95" s="190"/>
      <c r="H95" s="190"/>
      <c r="I95" s="188"/>
      <c r="J95" s="188"/>
      <c r="K95" s="191"/>
      <c r="M95" s="306"/>
      <c r="N95" s="306"/>
    </row>
    <row r="96" spans="1:14">
      <c r="A96" s="46"/>
      <c r="B96" s="41"/>
      <c r="C96" s="41"/>
      <c r="D96" s="41"/>
      <c r="E96" s="41"/>
      <c r="F96" s="5"/>
      <c r="G96" s="5"/>
      <c r="H96" s="5"/>
      <c r="I96" s="202"/>
      <c r="J96" s="202"/>
      <c r="K96" s="61"/>
    </row>
    <row r="97" spans="1:16">
      <c r="A97" s="51" t="s">
        <v>25</v>
      </c>
      <c r="B97" s="48" t="s">
        <v>29</v>
      </c>
      <c r="C97" s="48" t="s">
        <v>179</v>
      </c>
      <c r="D97" s="49" t="s">
        <v>184</v>
      </c>
      <c r="E97" s="50" t="s">
        <v>28</v>
      </c>
      <c r="F97" s="49" t="s">
        <v>50</v>
      </c>
      <c r="G97" s="49" t="s">
        <v>108</v>
      </c>
      <c r="H97" s="317" t="s">
        <v>121</v>
      </c>
      <c r="I97" s="317"/>
      <c r="J97" s="329" t="s">
        <v>177</v>
      </c>
      <c r="K97" s="330"/>
    </row>
    <row r="98" spans="1:16" ht="16">
      <c r="A98" s="193"/>
      <c r="B98" s="177"/>
      <c r="C98" s="177"/>
      <c r="D98" s="24" t="str">
        <f>IF(B98="","",IF(A98="NA","NA",1))</f>
        <v/>
      </c>
      <c r="E98" s="4" t="str">
        <f>IF(B98="","",IF($I$4="ESTAMPACION LOCALIZADA","PULPO AT",IF($I$4="SUBLIMACION LOCALIZADA","CALANDRA 1","")))</f>
        <v/>
      </c>
      <c r="F98" s="24" t="str">
        <f>IF(B98="","",IF($I$4="ESTAMPACION LOCALIZADA","165°C",IF($I$4="SUBLIMACION LOCALIZADA","190°C","")))</f>
        <v/>
      </c>
      <c r="G98" s="24" t="str">
        <f>IF(B98="","",IF($I$4="ESTAMPACION LOCALIZADA","6.5/40 sg",IF($I$4="SUBLIMACION LOCALIZADA","2 sg","")))</f>
        <v/>
      </c>
      <c r="H98" s="317"/>
      <c r="I98" s="317"/>
      <c r="J98" s="329"/>
      <c r="K98" s="330"/>
    </row>
    <row r="99" spans="1:16" ht="16">
      <c r="A99" s="193"/>
      <c r="B99" s="177"/>
      <c r="C99" s="177"/>
      <c r="D99" s="24" t="str">
        <f t="shared" ref="D99:D101" si="22">IF(B99="","",IF(A99="NA","NA",1))</f>
        <v/>
      </c>
      <c r="E99" s="4" t="str">
        <f t="shared" ref="E99:E100" si="23">IF(B99="","",IF($I$4="ESTAMPACION LOCALIZADA","PULPO AT",IF($I$4="SUBLIMACION LOCALIZADA","CALANDRA 1","")))</f>
        <v/>
      </c>
      <c r="F99" s="24" t="str">
        <f t="shared" ref="F99:F101" si="24">IF(B99="","",IF($I$4="ESTAMPACION LOCALIZADA","165°C",IF($I$4="SUBLIMACION LOCALIZADA","190°C","")))</f>
        <v/>
      </c>
      <c r="G99" s="24" t="str">
        <f t="shared" ref="G99:G101" si="25">IF(B99="","",IF($I$4="ESTAMPACION LOCALIZADA","6.5/40 sg",IF($I$4="SUBLIMACION LOCALIZADA","2 sg","")))</f>
        <v/>
      </c>
      <c r="H99" s="328"/>
      <c r="I99" s="328"/>
      <c r="J99" s="328"/>
      <c r="K99" s="331"/>
    </row>
    <row r="100" spans="1:16" ht="16">
      <c r="A100" s="193"/>
      <c r="B100" s="177"/>
      <c r="C100" s="177"/>
      <c r="D100" s="24" t="str">
        <f t="shared" si="22"/>
        <v/>
      </c>
      <c r="E100" s="4" t="str">
        <f t="shared" si="23"/>
        <v/>
      </c>
      <c r="F100" s="24" t="str">
        <f t="shared" si="24"/>
        <v/>
      </c>
      <c r="G100" s="24" t="str">
        <f t="shared" si="25"/>
        <v/>
      </c>
      <c r="H100" s="328"/>
      <c r="I100" s="328"/>
      <c r="J100" s="328"/>
      <c r="K100" s="331"/>
    </row>
    <row r="101" spans="1:16" ht="17" thickBot="1">
      <c r="A101" s="193"/>
      <c r="B101" s="177"/>
      <c r="C101" s="177"/>
      <c r="D101" s="24" t="str">
        <f t="shared" si="22"/>
        <v/>
      </c>
      <c r="E101" s="4" t="str">
        <f t="shared" ref="E101" si="26">IF(A101="","",IF($I$4="ESTAMPACION LOCALIZADA","PULPO AUTO",IF($I$4="SUBLIMACION LOCALIZADA","CALANDRA 1","")))</f>
        <v/>
      </c>
      <c r="F101" s="24" t="str">
        <f t="shared" si="24"/>
        <v/>
      </c>
      <c r="G101" s="24" t="str">
        <f t="shared" si="25"/>
        <v/>
      </c>
      <c r="H101" s="328"/>
      <c r="I101" s="328"/>
      <c r="J101" s="328"/>
      <c r="K101" s="331"/>
    </row>
    <row r="102" spans="1:16" ht="15.5" customHeight="1">
      <c r="A102" s="385"/>
      <c r="B102" s="386"/>
      <c r="C102" s="336" t="s">
        <v>1</v>
      </c>
      <c r="D102" s="336"/>
      <c r="E102" s="336"/>
      <c r="F102" s="336"/>
      <c r="G102" s="336"/>
      <c r="H102" s="336"/>
      <c r="I102" s="164" t="s">
        <v>181</v>
      </c>
      <c r="J102" s="341" t="s">
        <v>211</v>
      </c>
      <c r="K102" s="342"/>
      <c r="M102" s="308" t="s">
        <v>115</v>
      </c>
      <c r="N102" s="308"/>
      <c r="O102" s="311"/>
      <c r="P102" s="312"/>
    </row>
    <row r="103" spans="1:16" ht="16">
      <c r="A103" s="387"/>
      <c r="B103" s="388"/>
      <c r="C103" s="337"/>
      <c r="D103" s="337"/>
      <c r="E103" s="337"/>
      <c r="F103" s="337"/>
      <c r="G103" s="337"/>
      <c r="H103" s="337"/>
      <c r="I103" s="195">
        <v>45314</v>
      </c>
      <c r="J103" s="380" t="s">
        <v>0</v>
      </c>
      <c r="K103" s="381"/>
      <c r="M103" s="308"/>
      <c r="N103" s="308"/>
      <c r="O103" s="311"/>
      <c r="P103" s="312"/>
    </row>
    <row r="104" spans="1:16" ht="15.5" customHeight="1">
      <c r="A104" s="354" t="s">
        <v>2</v>
      </c>
      <c r="B104" s="359">
        <f>B70</f>
        <v>0</v>
      </c>
      <c r="C104" s="360"/>
      <c r="D104" s="363" t="s">
        <v>3</v>
      </c>
      <c r="E104" s="365">
        <f>E70</f>
        <v>0</v>
      </c>
      <c r="F104" s="367" t="s">
        <v>4</v>
      </c>
      <c r="G104" s="320">
        <f>G70</f>
        <v>0</v>
      </c>
      <c r="H104" s="56" t="s">
        <v>5</v>
      </c>
      <c r="I104" s="382">
        <f>I70</f>
        <v>0</v>
      </c>
      <c r="J104" s="383"/>
      <c r="K104" s="384"/>
      <c r="M104" s="325" t="str">
        <f>IF(AND(I105="SUBLIMACION LOCALIZADA",J106="ISOTIPO",A132="VINILO LIV"),"NO APTO",IF(AND(I105="SUBLIMACION LOCALIZADA",J106="ESTAMPADO",A132="VINILO LIV"),"NO APTO",IF(AND(I105="ESTAMPACION LOCALIZADA",J106="ESTAMPADO",A132="VINILO LIV"),"NO APTO",IF(AND(I105="SUBLIMACION LOCALIZADA",J106="ESTAMPADO"),"NO APTO",IF(AND(I105="SUBLIMACION LOCALIZADA",J106="ISOTIPO",A132=""),"NO APTO",IF(AND(I105="ESTAMPACION LOCALIZADA",J106="ISOTIPO",A132=""),"",IF(AND(I105="ESTAMPACION LOCALIZADA",J106="ISOTIPO",A132&lt;&gt;"VINILO LIV"),"NO APTO",IF(I105="ESTAMPACION LOCALIZADA",'PLANTILLA COSTO 4'!C69*F108,IF(I105="SUBLIMACION LOCALIZADA",'COSTOS SUBLIMACION'!K42,"")))))))))</f>
        <v/>
      </c>
      <c r="N104" s="325"/>
      <c r="O104" s="311"/>
      <c r="P104" s="312"/>
    </row>
    <row r="105" spans="1:16" ht="15.5" customHeight="1">
      <c r="A105" s="355"/>
      <c r="B105" s="361"/>
      <c r="C105" s="362"/>
      <c r="D105" s="364"/>
      <c r="E105" s="366"/>
      <c r="F105" s="368"/>
      <c r="G105" s="321"/>
      <c r="H105" s="56" t="s">
        <v>51</v>
      </c>
      <c r="I105" s="322"/>
      <c r="J105" s="323"/>
      <c r="K105" s="324"/>
      <c r="M105" s="325"/>
      <c r="N105" s="325"/>
      <c r="O105" s="311"/>
      <c r="P105" s="312"/>
    </row>
    <row r="106" spans="1:16" ht="16">
      <c r="A106" s="162" t="s">
        <v>6</v>
      </c>
      <c r="B106" s="177">
        <f>B72</f>
        <v>0</v>
      </c>
      <c r="C106" s="163" t="s">
        <v>180</v>
      </c>
      <c r="D106" s="356">
        <f>D72</f>
        <v>0</v>
      </c>
      <c r="E106" s="356"/>
      <c r="F106" s="163" t="s">
        <v>70</v>
      </c>
      <c r="G106" s="357">
        <f>G72</f>
        <v>0</v>
      </c>
      <c r="H106" s="358"/>
      <c r="I106" s="233" t="s">
        <v>276</v>
      </c>
      <c r="J106" s="375"/>
      <c r="K106" s="376"/>
    </row>
    <row r="107" spans="1:16" ht="20">
      <c r="A107" s="161" t="s">
        <v>45</v>
      </c>
      <c r="B107" s="369"/>
      <c r="C107" s="369"/>
      <c r="D107" s="369"/>
      <c r="E107" s="370"/>
      <c r="F107" s="370"/>
      <c r="G107" s="369"/>
      <c r="H107" s="241" t="s">
        <v>46</v>
      </c>
      <c r="I107" s="377" t="str">
        <f>IFERROR(VLOOKUP(B107,DATOS!B:E,4,0),"")</f>
        <v/>
      </c>
      <c r="J107" s="378"/>
      <c r="K107" s="379"/>
    </row>
    <row r="108" spans="1:16" ht="16">
      <c r="A108" s="168" t="s">
        <v>44</v>
      </c>
      <c r="B108" s="375"/>
      <c r="C108" s="375"/>
      <c r="D108" s="375"/>
      <c r="E108" s="167" t="s">
        <v>43</v>
      </c>
      <c r="F108" s="178"/>
      <c r="G108" s="348" t="s">
        <v>107</v>
      </c>
      <c r="H108" s="348"/>
      <c r="I108" s="176"/>
      <c r="J108" s="166" t="s">
        <v>27</v>
      </c>
      <c r="K108" s="175"/>
    </row>
    <row r="109" spans="1:16" ht="16">
      <c r="A109" s="169" t="s">
        <v>114</v>
      </c>
      <c r="B109" s="177"/>
      <c r="C109" s="349" t="s">
        <v>49</v>
      </c>
      <c r="D109" s="349"/>
      <c r="E109" s="24" t="str">
        <f>IF(D132="","",SUM(D132:D135))</f>
        <v/>
      </c>
      <c r="F109" s="350" t="s">
        <v>105</v>
      </c>
      <c r="G109" s="350"/>
      <c r="H109" s="185" t="str">
        <f>IF(B107="","",SUM(B127:B129,D132:D135))</f>
        <v/>
      </c>
      <c r="I109" s="225" t="s">
        <v>271</v>
      </c>
      <c r="J109" s="356"/>
      <c r="K109" s="374"/>
    </row>
    <row r="110" spans="1:16">
      <c r="A110" s="353" t="s">
        <v>209</v>
      </c>
      <c r="B110" s="351"/>
      <c r="C110" s="351"/>
      <c r="D110" s="351"/>
      <c r="E110" s="351"/>
      <c r="F110" s="351" t="s">
        <v>210</v>
      </c>
      <c r="G110" s="351"/>
      <c r="H110" s="351"/>
      <c r="I110" s="351"/>
      <c r="J110" s="351"/>
      <c r="K110" s="352"/>
    </row>
    <row r="111" spans="1:16" ht="3" customHeight="1">
      <c r="A111" s="353"/>
      <c r="B111" s="351"/>
      <c r="C111" s="351"/>
      <c r="D111" s="351"/>
      <c r="E111" s="351"/>
      <c r="F111" s="351"/>
      <c r="G111" s="351"/>
      <c r="H111" s="351"/>
      <c r="I111" s="351"/>
      <c r="J111" s="351"/>
      <c r="K111" s="352"/>
    </row>
    <row r="112" spans="1:16" ht="16">
      <c r="A112" s="174" t="s">
        <v>217</v>
      </c>
      <c r="B112" s="177"/>
      <c r="C112" s="371" t="s">
        <v>218</v>
      </c>
      <c r="D112" s="372"/>
      <c r="E112" s="177"/>
      <c r="F112" s="186"/>
      <c r="K112" s="15"/>
      <c r="M112" s="306" t="str">
        <f>IF(B109="SI","RECUERDA QUE EL COSTO DEL ALTA DENSIDAD INCLUYE MANO DE OBRA E INSUMO $500","")</f>
        <v/>
      </c>
      <c r="N112" s="306"/>
    </row>
    <row r="113" spans="1:14" ht="16">
      <c r="A113" s="171"/>
      <c r="B113" s="196"/>
      <c r="F113" s="186"/>
      <c r="K113" s="15"/>
      <c r="M113" s="306"/>
      <c r="N113" s="306"/>
    </row>
    <row r="114" spans="1:14" ht="16">
      <c r="A114" s="170"/>
      <c r="B114" s="196"/>
      <c r="F114" s="186"/>
      <c r="K114" s="15"/>
      <c r="L114" s="5" t="str">
        <f>RIGHT(B107,8)</f>
        <v/>
      </c>
      <c r="M114" s="306"/>
      <c r="N114" s="306"/>
    </row>
    <row r="115" spans="1:14" ht="16">
      <c r="A115" s="170"/>
      <c r="B115" s="196"/>
      <c r="F115" s="186"/>
      <c r="K115" s="15"/>
      <c r="L115" s="5" t="str">
        <f>IFERROR(VLOOKUP(B107,DATOS!B:E,2,FALSE),"")</f>
        <v/>
      </c>
      <c r="M115" s="306"/>
      <c r="N115" s="306"/>
    </row>
    <row r="116" spans="1:14" ht="26.5" customHeight="1">
      <c r="A116" s="170"/>
      <c r="B116" s="196"/>
      <c r="F116" s="186"/>
      <c r="K116" s="15"/>
      <c r="L116" s="5" t="str">
        <f>RIGHT(I104,9)</f>
        <v>0</v>
      </c>
      <c r="M116" s="306"/>
      <c r="N116" s="306"/>
    </row>
    <row r="117" spans="1:14" ht="35" customHeight="1">
      <c r="A117" s="170"/>
      <c r="B117" s="196"/>
      <c r="F117" s="186"/>
      <c r="K117" s="15"/>
      <c r="M117" s="306" t="str">
        <f>IF(K108="SI","RECUERDA QUE EL COSTO DEL FOIL INCLUYE MANO DE OBRA PERO NO EL INSUMO","")</f>
        <v/>
      </c>
      <c r="N117" s="306"/>
    </row>
    <row r="118" spans="1:14" ht="27.5" customHeight="1">
      <c r="A118" s="170"/>
      <c r="B118" s="196"/>
      <c r="F118" s="186"/>
      <c r="K118" s="15"/>
      <c r="M118" s="306"/>
      <c r="N118" s="306"/>
    </row>
    <row r="119" spans="1:14" ht="16">
      <c r="A119" s="170"/>
      <c r="B119" s="196"/>
      <c r="F119" s="186"/>
      <c r="K119" s="15"/>
      <c r="M119" s="306"/>
      <c r="N119" s="306"/>
    </row>
    <row r="120" spans="1:14" ht="32" customHeight="1">
      <c r="A120" s="343"/>
      <c r="B120" s="344"/>
      <c r="C120" s="197"/>
      <c r="D120" s="197"/>
      <c r="F120" s="186"/>
      <c r="K120" s="15"/>
      <c r="M120" s="306" t="str">
        <f>IF(J106="ISOTIPO","RECUERDA QUE EL COSTO DEL ISOTIPO INCLUYE INSUMO Y MANO DE OBRA","")</f>
        <v/>
      </c>
      <c r="N120" s="306"/>
    </row>
    <row r="121" spans="1:14" ht="16">
      <c r="A121" s="345"/>
      <c r="B121" s="313"/>
      <c r="C121" s="197"/>
      <c r="D121" s="197"/>
      <c r="F121" s="186"/>
      <c r="K121" s="15"/>
      <c r="M121" s="306"/>
      <c r="N121" s="306"/>
    </row>
    <row r="122" spans="1:14" ht="16">
      <c r="A122" s="346"/>
      <c r="B122" s="347"/>
      <c r="C122" s="198"/>
      <c r="D122" s="198"/>
      <c r="F122" s="186"/>
      <c r="K122" s="15"/>
      <c r="M122" s="306"/>
      <c r="N122" s="306"/>
    </row>
    <row r="123" spans="1:14" ht="16">
      <c r="A123" s="174" t="s">
        <v>110</v>
      </c>
      <c r="B123" s="177"/>
      <c r="C123" s="198"/>
      <c r="D123" s="198"/>
      <c r="F123" s="186"/>
      <c r="K123" s="15"/>
      <c r="M123" s="306"/>
      <c r="N123" s="306"/>
    </row>
    <row r="124" spans="1:14" ht="16">
      <c r="A124" s="174" t="s">
        <v>109</v>
      </c>
      <c r="B124" s="177"/>
      <c r="C124" s="198"/>
      <c r="D124" s="198"/>
      <c r="E124" s="199"/>
      <c r="F124" s="318"/>
      <c r="G124" s="319"/>
      <c r="H124" s="338"/>
      <c r="I124" s="338"/>
      <c r="J124" s="200"/>
      <c r="K124" s="62"/>
      <c r="M124" s="306"/>
      <c r="N124" s="306"/>
    </row>
    <row r="125" spans="1:14" ht="16">
      <c r="A125" s="174" t="s">
        <v>32</v>
      </c>
      <c r="B125" s="178"/>
      <c r="C125" s="198"/>
      <c r="D125" s="198"/>
      <c r="E125" s="201"/>
      <c r="F125" s="187"/>
      <c r="G125" s="201"/>
      <c r="H125" s="339"/>
      <c r="I125" s="339"/>
      <c r="J125" s="339"/>
      <c r="K125" s="340"/>
    </row>
    <row r="126" spans="1:14">
      <c r="A126" s="54" t="s">
        <v>48</v>
      </c>
      <c r="B126" s="55" t="s">
        <v>184</v>
      </c>
      <c r="C126" s="55" t="s">
        <v>28</v>
      </c>
      <c r="D126" s="55" t="s">
        <v>50</v>
      </c>
      <c r="E126" s="183" t="s">
        <v>118</v>
      </c>
      <c r="F126" s="47"/>
      <c r="G126" s="39"/>
      <c r="H126" s="39"/>
      <c r="I126" s="202"/>
      <c r="J126" s="202"/>
      <c r="K126" s="61"/>
      <c r="M126" s="306" t="str">
        <f>IF(OR(L116="AZZ KIDS",L116="KIDS NIÑO",L116="KIDS NIÑA"),"RECUERDE QUE A LAS REF DE KIDS TIENE UN COSTO ADICIONAL DE SUAVIZADO","")</f>
        <v/>
      </c>
      <c r="N126" s="306"/>
    </row>
    <row r="127" spans="1:14" ht="16">
      <c r="A127" s="65" t="str">
        <f>IF(K108="SI","PEGA FOIL",IF(J106="ISOTIPO","",IF(B107="","",IF(AND(L115="KIOTO",I107="MEDIO"),"BLANCO COTTON",IF(AND(L115="KIOTO",I107="OSCURO"),"BLANCO COTTON",IF(AND(L115="KIOTO",I107="CLARO"),"",IF(I107="MEDIO","BLOCKING",IF(I107="OSCURO","BLOCKING",IF(I107="CLARO","")))))))))</f>
        <v/>
      </c>
      <c r="B127" s="24" t="str">
        <f>IF(A127="","",IF(A127="NA","NA",1))</f>
        <v/>
      </c>
      <c r="C127" s="4" t="str">
        <f>IF(B127="","",IF($I$4="SUBLIMACION LOCALIZADA","CALANDRA 1",IF($I$4="ESTAMPACION LOCALIZADA","PULPO AT","")))</f>
        <v/>
      </c>
      <c r="D127" s="4" t="str">
        <f>IF(C127="CALANDRA 1","190°C",IF(C127="PULPO AT","165°C",""))</f>
        <v/>
      </c>
      <c r="E127" s="224" t="str">
        <f>IF(C127="CALANDRA 1","2sg",IF(C127="PULPO AT","6.5/40 sg",""))</f>
        <v/>
      </c>
      <c r="F127" s="186"/>
      <c r="I127" s="202"/>
      <c r="J127" s="202"/>
      <c r="K127" s="61"/>
      <c r="M127" s="306"/>
      <c r="N127" s="306"/>
    </row>
    <row r="128" spans="1:14" ht="16">
      <c r="A128" s="65" t="str">
        <f>IF(K108="SI","",IF(J106="ISOTIPO","",IF(B107="","",IF(AND(L115="KIOTO",I107="MEDIO"),"BLANCO",IF(AND(L115="KIOTO",I107="OSCURO"),"BLANCO",IF(AND(L115="KIOTO",I107="CLARO"),"",IF(I107="MEDIO","",IF(I107="OSCURO","",IF(I107="CLARO","")))))))))</f>
        <v/>
      </c>
      <c r="B128" s="24" t="str">
        <f t="shared" ref="B128:B129" si="27">IF(A128="","",IF(A128="NA","NA",1))</f>
        <v/>
      </c>
      <c r="C128" s="4" t="str">
        <f t="shared" ref="C128:C129" si="28">IF(B128="","",IF($I$4="SUBLIMACION LOCALIZADA","CALANDRA 1",IF($I$4="ESTAMPACION LOCALIZADA","PULPO AT","")))</f>
        <v/>
      </c>
      <c r="D128" s="4" t="str">
        <f t="shared" ref="D128:D129" si="29">IF(C128="CALANDRA 1","190°C",IF(C128="PULPO AT","165°C",""))</f>
        <v/>
      </c>
      <c r="E128" s="224" t="str">
        <f t="shared" ref="E128:E129" si="30">IF(C128="CALANDRA 1","2sg",IF(C128="PULPO AT","6.5/40 sg",""))</f>
        <v/>
      </c>
      <c r="F128" s="186"/>
      <c r="I128" s="202"/>
      <c r="J128" s="202"/>
      <c r="K128" s="61"/>
      <c r="M128" s="306"/>
      <c r="N128" s="306"/>
    </row>
    <row r="129" spans="1:14">
      <c r="A129" s="66" t="str">
        <f>IF(K108="SI","",IF(J106="ISOTIPO","",IF(B107="","",IF(AND(L115="KIOTO",I107="MEDIO"),"",IF(AND(L115="KIOTO",I107="OSCURO"),"",IF(AND(L115="KIOTO",I107="CLARO"),"",IF(I107="MEDIO","",IF(I107="OSCURO","",IF(I107="CLARO","")))))))))</f>
        <v/>
      </c>
      <c r="B129" s="40" t="str">
        <f t="shared" si="27"/>
        <v/>
      </c>
      <c r="C129" s="4" t="str">
        <f t="shared" si="28"/>
        <v/>
      </c>
      <c r="D129" s="4" t="str">
        <f t="shared" si="29"/>
        <v/>
      </c>
      <c r="E129" s="224" t="str">
        <f t="shared" si="30"/>
        <v/>
      </c>
      <c r="F129" s="189"/>
      <c r="G129" s="190"/>
      <c r="H129" s="190"/>
      <c r="I129" s="188"/>
      <c r="J129" s="188"/>
      <c r="K129" s="191"/>
      <c r="M129" s="306"/>
      <c r="N129" s="306"/>
    </row>
    <row r="130" spans="1:14">
      <c r="A130" s="46"/>
      <c r="B130" s="41"/>
      <c r="C130" s="41"/>
      <c r="D130" s="41"/>
      <c r="E130" s="41"/>
      <c r="F130" s="5"/>
      <c r="G130" s="5"/>
      <c r="H130" s="5"/>
      <c r="I130" s="202"/>
      <c r="J130" s="202"/>
      <c r="K130" s="61"/>
      <c r="M130" s="306"/>
      <c r="N130" s="306"/>
    </row>
    <row r="131" spans="1:14">
      <c r="A131" s="51" t="s">
        <v>25</v>
      </c>
      <c r="B131" s="48" t="s">
        <v>29</v>
      </c>
      <c r="C131" s="48" t="s">
        <v>179</v>
      </c>
      <c r="D131" s="49" t="s">
        <v>184</v>
      </c>
      <c r="E131" s="50" t="s">
        <v>28</v>
      </c>
      <c r="F131" s="49" t="s">
        <v>50</v>
      </c>
      <c r="G131" s="49" t="s">
        <v>108</v>
      </c>
      <c r="H131" s="317" t="s">
        <v>121</v>
      </c>
      <c r="I131" s="317"/>
      <c r="J131" s="329" t="s">
        <v>177</v>
      </c>
      <c r="K131" s="330"/>
    </row>
    <row r="132" spans="1:14" ht="16">
      <c r="A132" s="193"/>
      <c r="B132" s="177"/>
      <c r="C132" s="177"/>
      <c r="D132" s="24" t="str">
        <f>IF(B132="","",IF(A132="NA","NA",1))</f>
        <v/>
      </c>
      <c r="E132" s="4" t="str">
        <f>IF(B132="","",IF($I$4="ESTAMPACION LOCALIZADA","PULPO AT",IF($I$4="SUBLIMACION LOCALIZADA","CALANDRA 1","")))</f>
        <v/>
      </c>
      <c r="F132" s="24" t="str">
        <f>IF(B132="","",IF($I$4="ESTAMPACION LOCALIZADA","165°C",IF($I$4="SUBLIMACION LOCALIZADA","190°C","")))</f>
        <v/>
      </c>
      <c r="G132" s="24" t="str">
        <f>IF(B132="","",IF($I$4="ESTAMPACION LOCALIZADA","6.5/40 sg",IF($I$4="SUBLIMACION LOCALIZADA","2 sg","")))</f>
        <v/>
      </c>
      <c r="H132" s="317"/>
      <c r="I132" s="317"/>
      <c r="J132" s="329"/>
      <c r="K132" s="330"/>
    </row>
    <row r="133" spans="1:14" ht="16">
      <c r="A133" s="193"/>
      <c r="B133" s="177"/>
      <c r="C133" s="177"/>
      <c r="D133" s="24" t="str">
        <f t="shared" ref="D133:D135" si="31">IF(B133="","",IF(A133="NA","NA",1))</f>
        <v/>
      </c>
      <c r="E133" s="4" t="str">
        <f t="shared" ref="E133:E134" si="32">IF(B133="","",IF($I$4="ESTAMPACION LOCALIZADA","PULPO AT",IF($I$4="SUBLIMACION LOCALIZADA","CALANDRA 1","")))</f>
        <v/>
      </c>
      <c r="F133" s="24" t="str">
        <f t="shared" ref="F133:F134" si="33">IF(B133="","",IF($I$4="ESTAMPACION LOCALIZADA","165°C",IF($I$4="SUBLIMACION LOCALIZADA","190°C","")))</f>
        <v/>
      </c>
      <c r="G133" s="24" t="str">
        <f t="shared" ref="G133:G135" si="34">IF(B133="","",IF($I$4="ESTAMPACION LOCALIZADA","6.5/40 sg",IF($I$4="SUBLIMACION LOCALIZADA","2 sg","")))</f>
        <v/>
      </c>
      <c r="H133" s="328"/>
      <c r="I133" s="328"/>
      <c r="J133" s="328"/>
      <c r="K133" s="331"/>
    </row>
    <row r="134" spans="1:14" ht="16">
      <c r="A134" s="193"/>
      <c r="B134" s="177"/>
      <c r="C134" s="177"/>
      <c r="D134" s="24" t="str">
        <f t="shared" si="31"/>
        <v/>
      </c>
      <c r="E134" s="4" t="str">
        <f t="shared" si="32"/>
        <v/>
      </c>
      <c r="F134" s="24" t="str">
        <f t="shared" si="33"/>
        <v/>
      </c>
      <c r="G134" s="24" t="str">
        <f t="shared" si="34"/>
        <v/>
      </c>
      <c r="H134" s="328"/>
      <c r="I134" s="328"/>
      <c r="J134" s="328"/>
      <c r="K134" s="331"/>
    </row>
    <row r="135" spans="1:14" ht="17" thickBot="1">
      <c r="A135" s="247"/>
      <c r="B135" s="194"/>
      <c r="C135" s="194"/>
      <c r="D135" s="172" t="str">
        <f t="shared" si="31"/>
        <v/>
      </c>
      <c r="E135" s="173" t="str">
        <f t="shared" ref="E135" si="35">IF(A135="","",IF($I$4="ESTAMPACION LOCALIZADA","PULPO AUTO",IF($I$4="SUBLIMACION LOCALIZADA","CALANDRA 1","")))</f>
        <v/>
      </c>
      <c r="F135" s="172" t="str">
        <f>IF(B135="","",IF($I$4="ESTAMPACION LOCALIZADA","165°C",IF($I$4="SUBLIMACION LOCALIZADA","190°C","")))</f>
        <v/>
      </c>
      <c r="G135" s="172" t="str">
        <f t="shared" si="34"/>
        <v/>
      </c>
      <c r="H135" s="389"/>
      <c r="I135" s="389"/>
      <c r="J135" s="389"/>
      <c r="K135" s="390"/>
    </row>
  </sheetData>
  <mergeCells count="171">
    <mergeCell ref="C44:D44"/>
    <mergeCell ref="C78:D78"/>
    <mergeCell ref="M104:N105"/>
    <mergeCell ref="M34:N35"/>
    <mergeCell ref="M36:N37"/>
    <mergeCell ref="M68:N69"/>
    <mergeCell ref="M70:N71"/>
    <mergeCell ref="M102:N103"/>
    <mergeCell ref="H91:K91"/>
    <mergeCell ref="H97:I98"/>
    <mergeCell ref="J97:K98"/>
    <mergeCell ref="H99:I101"/>
    <mergeCell ref="J99:K101"/>
    <mergeCell ref="D72:E72"/>
    <mergeCell ref="G72:H72"/>
    <mergeCell ref="J72:K72"/>
    <mergeCell ref="B73:G73"/>
    <mergeCell ref="A68:B69"/>
    <mergeCell ref="C68:H69"/>
    <mergeCell ref="A102:B103"/>
    <mergeCell ref="C102:H103"/>
    <mergeCell ref="J102:K102"/>
    <mergeCell ref="I39:K39"/>
    <mergeCell ref="I73:K73"/>
    <mergeCell ref="H125:K125"/>
    <mergeCell ref="H131:I132"/>
    <mergeCell ref="J131:K132"/>
    <mergeCell ref="H133:I135"/>
    <mergeCell ref="J133:K135"/>
    <mergeCell ref="A120:B120"/>
    <mergeCell ref="A121:B122"/>
    <mergeCell ref="F124:G124"/>
    <mergeCell ref="H124:I124"/>
    <mergeCell ref="C112:D112"/>
    <mergeCell ref="B108:D108"/>
    <mergeCell ref="G108:H108"/>
    <mergeCell ref="C109:D109"/>
    <mergeCell ref="F109:G109"/>
    <mergeCell ref="A110:E111"/>
    <mergeCell ref="F110:K111"/>
    <mergeCell ref="D106:E106"/>
    <mergeCell ref="G106:H106"/>
    <mergeCell ref="J106:K106"/>
    <mergeCell ref="B107:G107"/>
    <mergeCell ref="J109:K109"/>
    <mergeCell ref="I107:K107"/>
    <mergeCell ref="J103:K103"/>
    <mergeCell ref="A104:A105"/>
    <mergeCell ref="B104:C105"/>
    <mergeCell ref="D104:D105"/>
    <mergeCell ref="E104:E105"/>
    <mergeCell ref="F104:F105"/>
    <mergeCell ref="G104:G105"/>
    <mergeCell ref="I104:K104"/>
    <mergeCell ref="I105:K105"/>
    <mergeCell ref="A86:B86"/>
    <mergeCell ref="A87:B88"/>
    <mergeCell ref="F90:G90"/>
    <mergeCell ref="H90:I90"/>
    <mergeCell ref="B74:D74"/>
    <mergeCell ref="G74:H74"/>
    <mergeCell ref="C75:D75"/>
    <mergeCell ref="F75:G75"/>
    <mergeCell ref="A76:E77"/>
    <mergeCell ref="F76:K77"/>
    <mergeCell ref="J75:K75"/>
    <mergeCell ref="J68:K68"/>
    <mergeCell ref="J69:K69"/>
    <mergeCell ref="A70:A71"/>
    <mergeCell ref="B70:C71"/>
    <mergeCell ref="D70:D71"/>
    <mergeCell ref="E70:E71"/>
    <mergeCell ref="F70:F71"/>
    <mergeCell ref="G70:G71"/>
    <mergeCell ref="I70:K70"/>
    <mergeCell ref="I71:K71"/>
    <mergeCell ref="H57:K57"/>
    <mergeCell ref="H63:I64"/>
    <mergeCell ref="J63:K64"/>
    <mergeCell ref="H65:I67"/>
    <mergeCell ref="J65:K67"/>
    <mergeCell ref="A50:B50"/>
    <mergeCell ref="A53:B54"/>
    <mergeCell ref="F56:G56"/>
    <mergeCell ref="H56:I56"/>
    <mergeCell ref="B40:D40"/>
    <mergeCell ref="G40:H40"/>
    <mergeCell ref="C41:D41"/>
    <mergeCell ref="F41:G41"/>
    <mergeCell ref="A42:E43"/>
    <mergeCell ref="F42:K43"/>
    <mergeCell ref="D38:E38"/>
    <mergeCell ref="G38:H38"/>
    <mergeCell ref="J38:K38"/>
    <mergeCell ref="B39:G39"/>
    <mergeCell ref="J41:K41"/>
    <mergeCell ref="J35:K35"/>
    <mergeCell ref="A36:A37"/>
    <mergeCell ref="B36:C37"/>
    <mergeCell ref="D36:D37"/>
    <mergeCell ref="E36:E37"/>
    <mergeCell ref="F36:F37"/>
    <mergeCell ref="G36:G37"/>
    <mergeCell ref="I36:K36"/>
    <mergeCell ref="I37:K37"/>
    <mergeCell ref="A34:B35"/>
    <mergeCell ref="A17:B17"/>
    <mergeCell ref="A19:B20"/>
    <mergeCell ref="G7:H7"/>
    <mergeCell ref="C8:D8"/>
    <mergeCell ref="F8:G8"/>
    <mergeCell ref="F9:K10"/>
    <mergeCell ref="A9:E10"/>
    <mergeCell ref="A3:A4"/>
    <mergeCell ref="D5:E5"/>
    <mergeCell ref="G5:H5"/>
    <mergeCell ref="B3:C4"/>
    <mergeCell ref="D3:D4"/>
    <mergeCell ref="E3:E4"/>
    <mergeCell ref="F3:F4"/>
    <mergeCell ref="B6:G6"/>
    <mergeCell ref="C11:D11"/>
    <mergeCell ref="J8:K8"/>
    <mergeCell ref="J5:K5"/>
    <mergeCell ref="B7:D7"/>
    <mergeCell ref="I6:K6"/>
    <mergeCell ref="O68:P71"/>
    <mergeCell ref="O102:P105"/>
    <mergeCell ref="Q1:Q4"/>
    <mergeCell ref="R1:R4"/>
    <mergeCell ref="O13:P14"/>
    <mergeCell ref="H29:I30"/>
    <mergeCell ref="F22:G22"/>
    <mergeCell ref="G3:G4"/>
    <mergeCell ref="I4:K4"/>
    <mergeCell ref="I3:K3"/>
    <mergeCell ref="M1:N2"/>
    <mergeCell ref="M3:N4"/>
    <mergeCell ref="M5:N6"/>
    <mergeCell ref="M7:N8"/>
    <mergeCell ref="H31:I33"/>
    <mergeCell ref="J29:K30"/>
    <mergeCell ref="J31:K33"/>
    <mergeCell ref="J1:K1"/>
    <mergeCell ref="J2:K2"/>
    <mergeCell ref="C1:H2"/>
    <mergeCell ref="H22:I22"/>
    <mergeCell ref="H23:K23"/>
    <mergeCell ref="C34:H35"/>
    <mergeCell ref="J34:K34"/>
    <mergeCell ref="M11:N15"/>
    <mergeCell ref="M44:N48"/>
    <mergeCell ref="M57:N61"/>
    <mergeCell ref="M52:N56"/>
    <mergeCell ref="M16:N18"/>
    <mergeCell ref="M22:N26"/>
    <mergeCell ref="O1:P2"/>
    <mergeCell ref="O3:P4"/>
    <mergeCell ref="M19:N21"/>
    <mergeCell ref="O11:P12"/>
    <mergeCell ref="O34:Q37"/>
    <mergeCell ref="O16:P18"/>
    <mergeCell ref="M78:N82"/>
    <mergeCell ref="M83:N85"/>
    <mergeCell ref="M86:N90"/>
    <mergeCell ref="M91:N95"/>
    <mergeCell ref="M112:N116"/>
    <mergeCell ref="M117:N119"/>
    <mergeCell ref="M120:N124"/>
    <mergeCell ref="M126:N130"/>
    <mergeCell ref="M49:N51"/>
  </mergeCells>
  <phoneticPr fontId="7" type="noConversion"/>
  <pageMargins left="0.23622047244094491" right="0.23622047244094491" top="0" bottom="0" header="0.31496062992125984" footer="0.31496062992125984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EB470D4-CDAC-4CEC-8DC0-ADB65C91A387}">
          <x14:formula1>
            <xm:f>DATOS!$I$2:$I$12</xm:f>
          </x14:formula1>
          <xm:sqref>B23 B125 B91 B57</xm:sqref>
        </x14:dataValidation>
        <x14:dataValidation type="list" allowBlank="1" showInputMessage="1" showErrorMessage="1" xr:uid="{0B973068-7017-443A-8DF8-B77FDD579C24}">
          <x14:formula1>
            <xm:f>DATOS!$F$2:$F$23</xm:f>
          </x14:formula1>
          <xm:sqref>E3:E4</xm:sqref>
        </x14:dataValidation>
        <x14:dataValidation type="list" allowBlank="1" showInputMessage="1" showErrorMessage="1" xr:uid="{F551546E-A646-4354-A219-F34752EDFF76}">
          <x14:formula1>
            <xm:f>DATOS!$K$2:$K$5</xm:f>
          </x14:formula1>
          <xm:sqref>G3</xm:sqref>
        </x14:dataValidation>
        <x14:dataValidation type="list" allowBlank="1" showInputMessage="1" showErrorMessage="1" xr:uid="{EF2D2B2D-39EF-4E83-8726-634E25D6C6E5}">
          <x14:formula1>
            <xm:f>DATOS!$L$2:$L$14</xm:f>
          </x14:formula1>
          <xm:sqref>I3:K3</xm:sqref>
        </x14:dataValidation>
        <x14:dataValidation type="list" allowBlank="1" showInputMessage="1" showErrorMessage="1" xr:uid="{4FCFB482-2464-47EC-89DC-5A44BFAF092F}">
          <x14:formula1>
            <xm:f>DATOS!$J$2:$J$3</xm:f>
          </x14:formula1>
          <xm:sqref>I4:K4 I37:K37 I71:K71 I105:K105</xm:sqref>
        </x14:dataValidation>
        <x14:dataValidation type="list" allowBlank="1" showInputMessage="1" showErrorMessage="1" xr:uid="{D73FCF97-3F72-47FC-9116-EE84E123C27D}">
          <x14:formula1>
            <xm:f>DATOS!$M$2:$M$3</xm:f>
          </x14:formula1>
          <xm:sqref>B5</xm:sqref>
        </x14:dataValidation>
        <x14:dataValidation type="list" allowBlank="1" showInputMessage="1" showErrorMessage="1" xr:uid="{960B758F-13F7-41D0-84FF-0804F274DD71}">
          <x14:formula1>
            <xm:f>DATOS!$Q$2:$Q$20</xm:f>
          </x14:formula1>
          <xm:sqref>B7 B108 B74 B40</xm:sqref>
        </x14:dataValidation>
        <x14:dataValidation type="list" allowBlank="1" showInputMessage="1" showErrorMessage="1" xr:uid="{B99B14EC-6683-442A-BB9F-E20A50076E2E}">
          <x14:formula1>
            <xm:f>DATOS!$V$2:$V$4</xm:f>
          </x14:formula1>
          <xm:sqref>B109 B113 K74 B75 B41 K40 K108 B8 K7</xm:sqref>
        </x14:dataValidation>
        <x14:dataValidation type="list" allowBlank="1" showInputMessage="1" showErrorMessage="1" xr:uid="{B7678EA8-6DDD-4409-BEBF-F6E816C7E2B7}">
          <x14:formula1>
            <xm:f>DATOS!#REF!</xm:f>
          </x14:formula1>
          <xm:sqref>C28 C62 C96 C130</xm:sqref>
        </x14:dataValidation>
        <x14:dataValidation type="list" allowBlank="1" showInputMessage="1" showErrorMessage="1" xr:uid="{73329468-DF6F-4EC1-94A0-3C1619D6D41D}">
          <x14:formula1>
            <xm:f>DATOS!$Y$2:$Y$6</xm:f>
          </x14:formula1>
          <xm:sqref>F7 F108 F74 F40</xm:sqref>
        </x14:dataValidation>
        <x14:dataValidation type="list" allowBlank="1" showInputMessage="1" showErrorMessage="1" xr:uid="{B46D26E7-6CE5-4E32-9A2D-79F71658DA3E}">
          <x14:formula1>
            <xm:f>DATOS!$N$2:$N$5</xm:f>
          </x14:formula1>
          <xm:sqref>D5:E5</xm:sqref>
        </x14:dataValidation>
        <x14:dataValidation type="list" allowBlank="1" showInputMessage="1" showErrorMessage="1" xr:uid="{8548DD96-1EC5-4E1F-B4CD-5744164B62AC}">
          <x14:formula1>
            <xm:f>DATOS!$P$2:$P$4</xm:f>
          </x14:formula1>
          <xm:sqref>J106:K106 J38:K38 J72:K72 J5:K5</xm:sqref>
        </x14:dataValidation>
        <x14:dataValidation type="list" allowBlank="1" showInputMessage="1" showErrorMessage="1" xr:uid="{427813AA-B35A-418A-9C11-DDB07C334B5C}">
          <x14:formula1>
            <xm:f>DATOS!$G$2:$G$10</xm:f>
          </x14:formula1>
          <xm:sqref>A30:A33 A64:A67 A98:A101 A132:A135</xm:sqref>
        </x14:dataValidation>
        <x14:dataValidation type="list" allowBlank="1" showInputMessage="1" showErrorMessage="1" xr:uid="{ED6334BB-EAD9-4230-B468-419243538008}">
          <x14:formula1>
            <xm:f>DATOS!$O$2:$O$9</xm:f>
          </x14:formula1>
          <xm:sqref>G5:H5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ADB5A-C24B-4858-95AB-C64FD9136272}">
  <sheetPr codeName="Hoja3"/>
  <dimension ref="A1:Y1600"/>
  <sheetViews>
    <sheetView tabSelected="1" zoomScale="83" zoomScaleNormal="83" workbookViewId="0">
      <selection activeCell="K6" sqref="K6"/>
    </sheetView>
  </sheetViews>
  <sheetFormatPr baseColWidth="10" defaultColWidth="10.83203125" defaultRowHeight="14"/>
  <cols>
    <col min="1" max="1" width="10.83203125" style="3"/>
    <col min="2" max="2" width="53.5" style="3" customWidth="1"/>
    <col min="3" max="3" width="14.83203125" style="3" customWidth="1"/>
    <col min="4" max="4" width="12.1640625" style="3" customWidth="1"/>
    <col min="5" max="5" width="10.83203125" style="3"/>
    <col min="6" max="6" width="10.83203125" style="1"/>
    <col min="7" max="7" width="24.83203125" style="1" bestFit="1" customWidth="1"/>
    <col min="8" max="8" width="21.33203125" style="1" customWidth="1"/>
    <col min="9" max="9" width="19.5" style="1" customWidth="1"/>
    <col min="10" max="10" width="27.5" style="1" bestFit="1" customWidth="1"/>
    <col min="11" max="11" width="10.83203125" style="1"/>
    <col min="12" max="12" width="16.6640625" style="1" customWidth="1"/>
    <col min="13" max="13" width="10.83203125" style="1"/>
    <col min="14" max="14" width="20.1640625" style="1" customWidth="1"/>
    <col min="15" max="15" width="22.5" style="1" customWidth="1"/>
    <col min="16" max="16" width="16.5" style="1" bestFit="1" customWidth="1"/>
    <col min="17" max="17" width="23.5" style="1" bestFit="1" customWidth="1"/>
    <col min="18" max="18" width="10.83203125" style="1"/>
    <col min="19" max="19" width="18.5" style="1" bestFit="1" customWidth="1"/>
    <col min="20" max="20" width="10.83203125" style="1"/>
    <col min="21" max="21" width="8.83203125" style="1" customWidth="1"/>
    <col min="22" max="22" width="10.83203125" style="1"/>
    <col min="23" max="23" width="15.83203125" style="1" bestFit="1" customWidth="1"/>
    <col min="24" max="24" width="13.5" style="1" customWidth="1"/>
    <col min="25" max="16384" width="10.83203125" style="1"/>
  </cols>
  <sheetData>
    <row r="1" spans="1:25" ht="15">
      <c r="A1" s="289" t="s">
        <v>265</v>
      </c>
      <c r="B1" s="59" t="s">
        <v>97</v>
      </c>
      <c r="C1" s="59" t="s">
        <v>269</v>
      </c>
      <c r="D1" s="59" t="s">
        <v>266</v>
      </c>
      <c r="E1" s="59" t="s">
        <v>267</v>
      </c>
      <c r="F1" s="287" t="s">
        <v>3</v>
      </c>
      <c r="G1" s="6" t="s">
        <v>25</v>
      </c>
      <c r="H1" s="158" t="s">
        <v>47</v>
      </c>
      <c r="I1" s="6" t="s">
        <v>31</v>
      </c>
      <c r="J1" s="11" t="s">
        <v>51</v>
      </c>
      <c r="K1" s="6" t="s">
        <v>4</v>
      </c>
      <c r="L1" s="18" t="s">
        <v>5</v>
      </c>
      <c r="M1" s="6" t="s">
        <v>6</v>
      </c>
      <c r="N1" s="9" t="s">
        <v>69</v>
      </c>
      <c r="O1" s="8" t="s">
        <v>70</v>
      </c>
      <c r="P1" s="25" t="s">
        <v>278</v>
      </c>
      <c r="Q1" s="26" t="s">
        <v>44</v>
      </c>
      <c r="R1" s="8" t="s">
        <v>30</v>
      </c>
      <c r="S1" s="43" t="s">
        <v>99</v>
      </c>
      <c r="T1" s="38" t="s">
        <v>100</v>
      </c>
      <c r="U1" s="52" t="s">
        <v>107</v>
      </c>
      <c r="V1" s="53" t="s">
        <v>27</v>
      </c>
      <c r="W1" s="53" t="s">
        <v>111</v>
      </c>
      <c r="X1" s="16" t="s">
        <v>42</v>
      </c>
      <c r="Y1" s="6" t="s">
        <v>120</v>
      </c>
    </row>
    <row r="2" spans="1:25" ht="18.5" customHeight="1">
      <c r="A2" s="182">
        <v>6506791</v>
      </c>
      <c r="B2" s="290" t="s">
        <v>585</v>
      </c>
      <c r="C2" s="182" t="s">
        <v>91</v>
      </c>
      <c r="D2" s="291">
        <v>2027</v>
      </c>
      <c r="E2" s="182" t="s">
        <v>91</v>
      </c>
      <c r="F2" s="288" t="s">
        <v>212</v>
      </c>
      <c r="G2" s="4" t="s">
        <v>125</v>
      </c>
      <c r="H2" s="159" t="s">
        <v>92</v>
      </c>
      <c r="I2" s="4" t="s">
        <v>36</v>
      </c>
      <c r="J2" s="17" t="s">
        <v>52</v>
      </c>
      <c r="K2" s="4">
        <v>2023</v>
      </c>
      <c r="L2" s="23" t="s">
        <v>54</v>
      </c>
      <c r="M2" s="224" t="s">
        <v>67</v>
      </c>
      <c r="N2" s="3" t="s">
        <v>206</v>
      </c>
      <c r="O2" s="3" t="s">
        <v>201</v>
      </c>
      <c r="P2" s="275" t="s">
        <v>272</v>
      </c>
      <c r="Q2" s="21" t="s">
        <v>71</v>
      </c>
      <c r="R2" s="7">
        <v>1</v>
      </c>
      <c r="S2" s="3" t="s">
        <v>95</v>
      </c>
      <c r="T2" s="4">
        <v>120752</v>
      </c>
      <c r="U2" s="63">
        <v>0.15</v>
      </c>
      <c r="V2" s="4" t="s">
        <v>116</v>
      </c>
      <c r="W2" s="4" t="s">
        <v>112</v>
      </c>
      <c r="X2" s="17" t="s">
        <v>94</v>
      </c>
      <c r="Y2" s="4">
        <v>1</v>
      </c>
    </row>
    <row r="3" spans="1:25" ht="16.5" customHeight="1">
      <c r="A3" s="182">
        <v>6508814</v>
      </c>
      <c r="B3" s="290" t="s">
        <v>586</v>
      </c>
      <c r="C3" s="182" t="s">
        <v>91</v>
      </c>
      <c r="D3" s="291">
        <v>2027</v>
      </c>
      <c r="E3" s="182" t="s">
        <v>91</v>
      </c>
      <c r="F3" s="288" t="s">
        <v>213</v>
      </c>
      <c r="G3" s="4" t="s">
        <v>26</v>
      </c>
      <c r="H3" s="160" t="s">
        <v>106</v>
      </c>
      <c r="I3" s="4" t="s">
        <v>37</v>
      </c>
      <c r="J3" s="17" t="s">
        <v>53</v>
      </c>
      <c r="K3" s="4">
        <v>2024</v>
      </c>
      <c r="L3" s="23" t="s">
        <v>55</v>
      </c>
      <c r="M3" s="224" t="s">
        <v>68</v>
      </c>
      <c r="N3" s="3" t="s">
        <v>207</v>
      </c>
      <c r="O3" s="3" t="s">
        <v>202</v>
      </c>
      <c r="P3" s="275" t="s">
        <v>277</v>
      </c>
      <c r="Q3" s="21" t="s">
        <v>72</v>
      </c>
      <c r="R3" s="7">
        <v>2</v>
      </c>
      <c r="S3" s="3" t="s">
        <v>117</v>
      </c>
      <c r="T3" s="4">
        <v>140850</v>
      </c>
      <c r="U3" s="63">
        <v>0.35</v>
      </c>
      <c r="V3" s="4" t="s">
        <v>113</v>
      </c>
      <c r="W3" s="4" t="s">
        <v>113</v>
      </c>
      <c r="X3" s="17" t="s">
        <v>119</v>
      </c>
      <c r="Y3" s="4">
        <v>2</v>
      </c>
    </row>
    <row r="4" spans="1:25" ht="17.5" customHeight="1">
      <c r="A4" s="182">
        <v>6508825</v>
      </c>
      <c r="B4" s="290" t="s">
        <v>587</v>
      </c>
      <c r="C4" s="278" t="s">
        <v>268</v>
      </c>
      <c r="D4" s="291">
        <v>2027</v>
      </c>
      <c r="E4" s="278" t="s">
        <v>268</v>
      </c>
      <c r="F4" s="288" t="s">
        <v>214</v>
      </c>
      <c r="G4" s="4" t="s">
        <v>127</v>
      </c>
      <c r="H4" s="160"/>
      <c r="I4" s="4" t="s">
        <v>38</v>
      </c>
      <c r="K4" s="4">
        <v>2025</v>
      </c>
      <c r="L4" s="19" t="s">
        <v>56</v>
      </c>
      <c r="N4" s="3" t="s">
        <v>208</v>
      </c>
      <c r="O4" s="3" t="s">
        <v>203</v>
      </c>
      <c r="P4" s="4" t="s">
        <v>106</v>
      </c>
      <c r="Q4" s="21" t="s">
        <v>73</v>
      </c>
      <c r="R4" s="7">
        <v>3</v>
      </c>
      <c r="S4" s="3" t="s">
        <v>104</v>
      </c>
      <c r="T4" s="4">
        <v>141324</v>
      </c>
      <c r="U4" s="63">
        <v>0.55000000000000004</v>
      </c>
      <c r="V4" s="4" t="s">
        <v>106</v>
      </c>
      <c r="W4" s="4" t="s">
        <v>106</v>
      </c>
      <c r="Y4" s="4">
        <v>3</v>
      </c>
    </row>
    <row r="5" spans="1:25" ht="19">
      <c r="A5" s="182">
        <v>6508820</v>
      </c>
      <c r="B5" s="290" t="s">
        <v>588</v>
      </c>
      <c r="C5" s="182" t="s">
        <v>91</v>
      </c>
      <c r="D5" s="291">
        <v>2027</v>
      </c>
      <c r="E5" s="182" t="s">
        <v>91</v>
      </c>
      <c r="F5" s="288" t="s">
        <v>215</v>
      </c>
      <c r="G5" s="4" t="s">
        <v>93</v>
      </c>
      <c r="I5" s="4" t="s">
        <v>39</v>
      </c>
      <c r="K5" s="4">
        <v>2026</v>
      </c>
      <c r="L5" s="19" t="s">
        <v>57</v>
      </c>
      <c r="N5" s="3" t="s">
        <v>318</v>
      </c>
      <c r="O5" s="3" t="s">
        <v>204</v>
      </c>
      <c r="Q5" s="3" t="s">
        <v>74</v>
      </c>
      <c r="R5" s="7">
        <v>4</v>
      </c>
      <c r="T5" s="4">
        <v>171656</v>
      </c>
      <c r="U5" s="64">
        <v>0.75</v>
      </c>
      <c r="V5" s="4"/>
      <c r="W5" s="4"/>
      <c r="Y5" s="4">
        <v>4</v>
      </c>
    </row>
    <row r="6" spans="1:25" ht="19">
      <c r="A6" s="182">
        <v>6508815</v>
      </c>
      <c r="B6" s="290" t="s">
        <v>589</v>
      </c>
      <c r="C6" s="292" t="s">
        <v>90</v>
      </c>
      <c r="D6" s="291">
        <v>2027</v>
      </c>
      <c r="E6" s="292" t="s">
        <v>90</v>
      </c>
      <c r="F6" s="160" t="s">
        <v>7</v>
      </c>
      <c r="G6" s="4" t="s">
        <v>106</v>
      </c>
      <c r="I6" s="4" t="s">
        <v>35</v>
      </c>
      <c r="K6" s="4">
        <v>2027</v>
      </c>
      <c r="L6" s="19" t="s">
        <v>58</v>
      </c>
      <c r="O6" s="3" t="s">
        <v>205</v>
      </c>
      <c r="Q6" s="3" t="s">
        <v>75</v>
      </c>
      <c r="T6" s="4">
        <v>142311</v>
      </c>
      <c r="U6" s="64">
        <v>0.95</v>
      </c>
      <c r="Y6" s="4">
        <v>5</v>
      </c>
    </row>
    <row r="7" spans="1:25" ht="19">
      <c r="A7" s="182">
        <v>6508819</v>
      </c>
      <c r="B7" s="290" t="s">
        <v>590</v>
      </c>
      <c r="C7" s="278" t="s">
        <v>268</v>
      </c>
      <c r="D7" s="291">
        <v>2027</v>
      </c>
      <c r="E7" s="278" t="s">
        <v>268</v>
      </c>
      <c r="F7" s="160" t="s">
        <v>8</v>
      </c>
      <c r="G7" s="4" t="s">
        <v>176</v>
      </c>
      <c r="I7" s="4" t="s">
        <v>40</v>
      </c>
      <c r="L7" s="19" t="s">
        <v>59</v>
      </c>
      <c r="O7" s="3" t="s">
        <v>321</v>
      </c>
      <c r="Q7" s="3" t="s">
        <v>76</v>
      </c>
      <c r="T7" s="4">
        <v>161104</v>
      </c>
    </row>
    <row r="8" spans="1:25" ht="19">
      <c r="A8" s="182">
        <v>6508821</v>
      </c>
      <c r="B8" s="290" t="s">
        <v>537</v>
      </c>
      <c r="C8" s="293" t="s">
        <v>91</v>
      </c>
      <c r="D8" s="291">
        <v>2027</v>
      </c>
      <c r="E8" s="293" t="s">
        <v>91</v>
      </c>
      <c r="F8" s="160" t="s">
        <v>9</v>
      </c>
      <c r="G8" s="4" t="s">
        <v>126</v>
      </c>
      <c r="I8" s="4" t="s">
        <v>40</v>
      </c>
      <c r="L8" s="19" t="s">
        <v>60</v>
      </c>
      <c r="O8" s="3" t="s">
        <v>207</v>
      </c>
      <c r="Q8" s="3" t="s">
        <v>77</v>
      </c>
      <c r="T8" s="4">
        <v>180840</v>
      </c>
    </row>
    <row r="9" spans="1:25" ht="19">
      <c r="A9" s="182">
        <v>6508813</v>
      </c>
      <c r="B9" s="290" t="s">
        <v>539</v>
      </c>
      <c r="C9" s="292" t="s">
        <v>268</v>
      </c>
      <c r="D9" s="291">
        <v>2027</v>
      </c>
      <c r="E9" s="292" t="s">
        <v>268</v>
      </c>
      <c r="F9" s="160" t="s">
        <v>10</v>
      </c>
      <c r="G9" s="4" t="s">
        <v>584</v>
      </c>
      <c r="I9" s="4" t="s">
        <v>40</v>
      </c>
      <c r="L9" s="19" t="s">
        <v>61</v>
      </c>
      <c r="O9" s="3" t="s">
        <v>319</v>
      </c>
      <c r="Q9" s="3" t="s">
        <v>78</v>
      </c>
      <c r="T9" s="4">
        <v>161140</v>
      </c>
    </row>
    <row r="10" spans="1:25" ht="19">
      <c r="A10" s="182">
        <v>6506797</v>
      </c>
      <c r="B10" s="290" t="s">
        <v>541</v>
      </c>
      <c r="C10" s="292" t="s">
        <v>90</v>
      </c>
      <c r="D10" s="291">
        <v>2027</v>
      </c>
      <c r="E10" s="292" t="s">
        <v>90</v>
      </c>
      <c r="F10" s="160" t="s">
        <v>11</v>
      </c>
      <c r="G10" s="4" t="s">
        <v>291</v>
      </c>
      <c r="I10" s="4" t="s">
        <v>34</v>
      </c>
      <c r="L10" s="19" t="s">
        <v>62</v>
      </c>
      <c r="O10" s="3" t="s">
        <v>985</v>
      </c>
      <c r="Q10" s="3" t="s">
        <v>79</v>
      </c>
      <c r="T10" s="4">
        <v>180950</v>
      </c>
    </row>
    <row r="11" spans="1:25" ht="19">
      <c r="A11" s="182">
        <v>6508816</v>
      </c>
      <c r="B11" s="290" t="s">
        <v>543</v>
      </c>
      <c r="C11" s="292" t="s">
        <v>268</v>
      </c>
      <c r="D11" s="291">
        <v>2027</v>
      </c>
      <c r="E11" s="292" t="s">
        <v>268</v>
      </c>
      <c r="F11" s="160" t="s">
        <v>12</v>
      </c>
      <c r="I11" s="4" t="s">
        <v>41</v>
      </c>
      <c r="L11" s="20" t="s">
        <v>63</v>
      </c>
      <c r="Q11" s="3" t="s">
        <v>80</v>
      </c>
      <c r="T11" s="4">
        <v>141213</v>
      </c>
    </row>
    <row r="12" spans="1:25" ht="19">
      <c r="A12" s="182">
        <v>6508811</v>
      </c>
      <c r="B12" s="290" t="s">
        <v>548</v>
      </c>
      <c r="C12" s="292" t="s">
        <v>268</v>
      </c>
      <c r="D12" s="291">
        <v>2027</v>
      </c>
      <c r="E12" s="292" t="s">
        <v>268</v>
      </c>
      <c r="F12" s="160" t="s">
        <v>13</v>
      </c>
      <c r="I12" s="4" t="s">
        <v>33</v>
      </c>
      <c r="L12" s="21" t="s">
        <v>64</v>
      </c>
      <c r="Q12" s="3" t="s">
        <v>81</v>
      </c>
      <c r="T12" s="4">
        <v>191435</v>
      </c>
    </row>
    <row r="13" spans="1:25" ht="19">
      <c r="A13" s="182">
        <v>6508812</v>
      </c>
      <c r="B13" s="290" t="s">
        <v>552</v>
      </c>
      <c r="C13" s="292" t="s">
        <v>91</v>
      </c>
      <c r="D13" s="291">
        <v>2027</v>
      </c>
      <c r="E13" s="292" t="s">
        <v>91</v>
      </c>
      <c r="F13" s="160" t="s">
        <v>14</v>
      </c>
      <c r="L13" s="21" t="s">
        <v>65</v>
      </c>
      <c r="Q13" s="3" t="s">
        <v>82</v>
      </c>
      <c r="T13" s="4">
        <v>161520</v>
      </c>
    </row>
    <row r="14" spans="1:25" ht="19">
      <c r="A14" s="182">
        <v>6508824</v>
      </c>
      <c r="B14" s="290" t="s">
        <v>591</v>
      </c>
      <c r="C14" s="292" t="s">
        <v>91</v>
      </c>
      <c r="D14" s="291">
        <v>2027</v>
      </c>
      <c r="E14" s="292" t="s">
        <v>91</v>
      </c>
      <c r="F14" s="160" t="s">
        <v>15</v>
      </c>
      <c r="L14" s="22" t="s">
        <v>66</v>
      </c>
      <c r="Q14" s="3" t="s">
        <v>83</v>
      </c>
      <c r="T14" s="4">
        <v>181453</v>
      </c>
    </row>
    <row r="15" spans="1:25" ht="19">
      <c r="A15" s="182">
        <v>6508823</v>
      </c>
      <c r="B15" s="290" t="s">
        <v>592</v>
      </c>
      <c r="C15" s="182" t="s">
        <v>91</v>
      </c>
      <c r="D15" s="291">
        <v>2027</v>
      </c>
      <c r="E15" s="182" t="s">
        <v>91</v>
      </c>
      <c r="F15" s="160" t="s">
        <v>16</v>
      </c>
      <c r="Q15" s="3" t="s">
        <v>84</v>
      </c>
      <c r="T15" s="4">
        <v>181160</v>
      </c>
    </row>
    <row r="16" spans="1:25" ht="19">
      <c r="A16" s="182">
        <v>6508817</v>
      </c>
      <c r="B16" s="290" t="s">
        <v>593</v>
      </c>
      <c r="C16" s="292" t="s">
        <v>268</v>
      </c>
      <c r="D16" s="291">
        <v>2027</v>
      </c>
      <c r="E16" s="292" t="s">
        <v>268</v>
      </c>
      <c r="F16" s="160" t="s">
        <v>17</v>
      </c>
      <c r="Q16" s="3" t="s">
        <v>85</v>
      </c>
      <c r="T16" s="4">
        <v>171140</v>
      </c>
    </row>
    <row r="17" spans="1:20" ht="19">
      <c r="A17" s="182">
        <v>6508822</v>
      </c>
      <c r="B17" s="290" t="s">
        <v>594</v>
      </c>
      <c r="C17" s="292" t="s">
        <v>91</v>
      </c>
      <c r="D17" s="291">
        <v>2027</v>
      </c>
      <c r="E17" s="292" t="s">
        <v>91</v>
      </c>
      <c r="F17" s="160" t="s">
        <v>18</v>
      </c>
      <c r="Q17" s="3" t="s">
        <v>86</v>
      </c>
      <c r="T17" s="4">
        <v>191557</v>
      </c>
    </row>
    <row r="18" spans="1:20" ht="19">
      <c r="A18" s="182">
        <v>6508818</v>
      </c>
      <c r="B18" s="290" t="s">
        <v>595</v>
      </c>
      <c r="C18" s="292" t="s">
        <v>91</v>
      </c>
      <c r="D18" s="291">
        <v>2027</v>
      </c>
      <c r="E18" s="292" t="s">
        <v>91</v>
      </c>
      <c r="F18" s="160" t="s">
        <v>19</v>
      </c>
      <c r="Q18" s="3" t="s">
        <v>87</v>
      </c>
      <c r="T18" s="4">
        <v>144809</v>
      </c>
    </row>
    <row r="19" spans="1:20" ht="19">
      <c r="A19" s="182">
        <v>6508810</v>
      </c>
      <c r="B19" s="290" t="s">
        <v>596</v>
      </c>
      <c r="C19" s="292" t="s">
        <v>91</v>
      </c>
      <c r="D19" s="291">
        <v>2027</v>
      </c>
      <c r="E19" s="292" t="s">
        <v>91</v>
      </c>
      <c r="F19" s="160" t="s">
        <v>20</v>
      </c>
      <c r="Q19" s="3" t="s">
        <v>88</v>
      </c>
      <c r="T19" s="4">
        <v>120312</v>
      </c>
    </row>
    <row r="20" spans="1:20" ht="19">
      <c r="A20" s="182">
        <v>6508930</v>
      </c>
      <c r="B20" s="290" t="s">
        <v>597</v>
      </c>
      <c r="C20" s="182" t="s">
        <v>91</v>
      </c>
      <c r="D20" s="291">
        <v>2027</v>
      </c>
      <c r="E20" s="182" t="s">
        <v>91</v>
      </c>
      <c r="F20" s="160" t="s">
        <v>21</v>
      </c>
      <c r="Q20" s="3" t="s">
        <v>89</v>
      </c>
      <c r="T20" s="4">
        <v>130220</v>
      </c>
    </row>
    <row r="21" spans="1:20" ht="19">
      <c r="A21" s="182">
        <v>6506311</v>
      </c>
      <c r="B21" s="290" t="s">
        <v>598</v>
      </c>
      <c r="C21" s="278" t="s">
        <v>91</v>
      </c>
      <c r="D21" s="291">
        <v>2027</v>
      </c>
      <c r="E21" s="278" t="s">
        <v>91</v>
      </c>
      <c r="F21" s="160" t="s">
        <v>22</v>
      </c>
      <c r="T21" s="4">
        <v>150545</v>
      </c>
    </row>
    <row r="22" spans="1:20" ht="19">
      <c r="A22" s="182">
        <v>6506309</v>
      </c>
      <c r="B22" s="290" t="s">
        <v>599</v>
      </c>
      <c r="C22" s="278" t="s">
        <v>268</v>
      </c>
      <c r="D22" s="291">
        <v>2027</v>
      </c>
      <c r="E22" s="278" t="s">
        <v>268</v>
      </c>
      <c r="F22" s="160" t="s">
        <v>23</v>
      </c>
      <c r="T22" s="4">
        <v>170340</v>
      </c>
    </row>
    <row r="23" spans="1:20" ht="19">
      <c r="A23" s="182">
        <v>6506312</v>
      </c>
      <c r="B23" s="290" t="s">
        <v>600</v>
      </c>
      <c r="C23" s="278" t="s">
        <v>91</v>
      </c>
      <c r="D23" s="291">
        <v>2027</v>
      </c>
      <c r="E23" s="278" t="s">
        <v>91</v>
      </c>
      <c r="F23" s="160" t="s">
        <v>24</v>
      </c>
      <c r="T23" s="4">
        <v>160726</v>
      </c>
    </row>
    <row r="24" spans="1:20" ht="19">
      <c r="A24" s="182">
        <v>6508826</v>
      </c>
      <c r="B24" s="290" t="s">
        <v>601</v>
      </c>
      <c r="C24" s="278" t="s">
        <v>91</v>
      </c>
      <c r="D24" s="291">
        <v>2027</v>
      </c>
      <c r="E24" s="278" t="s">
        <v>91</v>
      </c>
      <c r="T24" s="4">
        <v>195320</v>
      </c>
    </row>
    <row r="25" spans="1:20" ht="19">
      <c r="A25" s="182">
        <v>6508831</v>
      </c>
      <c r="B25" s="294" t="s">
        <v>602</v>
      </c>
      <c r="C25" s="181" t="s">
        <v>91</v>
      </c>
      <c r="D25" s="291">
        <v>2027</v>
      </c>
      <c r="E25" s="181" t="s">
        <v>91</v>
      </c>
      <c r="T25" s="4">
        <v>135907</v>
      </c>
    </row>
    <row r="26" spans="1:20" ht="19">
      <c r="A26" s="182">
        <v>6506856</v>
      </c>
      <c r="B26" s="295" t="s">
        <v>603</v>
      </c>
      <c r="C26" s="278" t="s">
        <v>91</v>
      </c>
      <c r="D26" s="291">
        <v>2027</v>
      </c>
      <c r="E26" s="278" t="s">
        <v>91</v>
      </c>
      <c r="T26" s="4">
        <v>195420</v>
      </c>
    </row>
    <row r="27" spans="1:20" ht="19">
      <c r="A27" s="182">
        <v>6508832</v>
      </c>
      <c r="B27" s="290" t="s">
        <v>604</v>
      </c>
      <c r="C27" s="278" t="s">
        <v>91</v>
      </c>
      <c r="D27" s="291">
        <v>2027</v>
      </c>
      <c r="E27" s="278" t="s">
        <v>91</v>
      </c>
      <c r="T27" s="27" t="s">
        <v>101</v>
      </c>
    </row>
    <row r="28" spans="1:20" ht="19">
      <c r="A28" s="182">
        <v>6508833</v>
      </c>
      <c r="B28" s="290" t="s">
        <v>605</v>
      </c>
      <c r="C28" s="292" t="s">
        <v>91</v>
      </c>
      <c r="D28" s="291">
        <v>2027</v>
      </c>
      <c r="E28" s="292" t="s">
        <v>91</v>
      </c>
      <c r="T28" s="4">
        <v>140216</v>
      </c>
    </row>
    <row r="29" spans="1:20" ht="19">
      <c r="A29" s="182">
        <v>6506857</v>
      </c>
      <c r="B29" s="290" t="s">
        <v>606</v>
      </c>
      <c r="C29" s="292" t="s">
        <v>91</v>
      </c>
      <c r="D29" s="291">
        <v>2027</v>
      </c>
      <c r="E29" s="292" t="s">
        <v>91</v>
      </c>
      <c r="T29" s="4">
        <v>150636</v>
      </c>
    </row>
    <row r="30" spans="1:20" ht="19">
      <c r="A30" s="182">
        <v>6506452</v>
      </c>
      <c r="B30" s="290" t="s">
        <v>607</v>
      </c>
      <c r="C30" s="296" t="s">
        <v>91</v>
      </c>
      <c r="D30" s="291">
        <v>2027</v>
      </c>
      <c r="E30" s="296" t="s">
        <v>91</v>
      </c>
      <c r="J30" s="5"/>
      <c r="T30" s="4">
        <v>172230</v>
      </c>
    </row>
    <row r="31" spans="1:20" ht="19">
      <c r="A31" s="182">
        <v>6506459</v>
      </c>
      <c r="B31" s="290" t="s">
        <v>608</v>
      </c>
      <c r="C31" s="292" t="s">
        <v>268</v>
      </c>
      <c r="D31" s="291">
        <v>2027</v>
      </c>
      <c r="E31" s="292" t="s">
        <v>268</v>
      </c>
      <c r="T31" s="4">
        <v>192041</v>
      </c>
    </row>
    <row r="32" spans="1:20" ht="19">
      <c r="A32" s="182">
        <v>6508827</v>
      </c>
      <c r="B32" s="290" t="s">
        <v>609</v>
      </c>
      <c r="C32" s="292" t="s">
        <v>268</v>
      </c>
      <c r="D32" s="291">
        <v>2027</v>
      </c>
      <c r="E32" s="292" t="s">
        <v>268</v>
      </c>
      <c r="T32" s="4">
        <v>193438</v>
      </c>
    </row>
    <row r="33" spans="1:20" ht="19">
      <c r="A33" s="182">
        <v>6508834</v>
      </c>
      <c r="B33" s="290" t="s">
        <v>610</v>
      </c>
      <c r="C33" s="181" t="s">
        <v>268</v>
      </c>
      <c r="D33" s="291">
        <v>2027</v>
      </c>
      <c r="E33" s="181" t="s">
        <v>268</v>
      </c>
      <c r="T33" s="4">
        <v>134910</v>
      </c>
    </row>
    <row r="34" spans="1:20" ht="19">
      <c r="A34" s="182">
        <v>6508828</v>
      </c>
      <c r="B34" s="290" t="s">
        <v>611</v>
      </c>
      <c r="C34" s="278" t="s">
        <v>268</v>
      </c>
      <c r="D34" s="291">
        <v>2027</v>
      </c>
      <c r="E34" s="278" t="s">
        <v>268</v>
      </c>
      <c r="T34" s="4">
        <v>194052</v>
      </c>
    </row>
    <row r="35" spans="1:20" ht="19">
      <c r="A35" s="182">
        <v>6507649</v>
      </c>
      <c r="B35" s="297" t="s">
        <v>612</v>
      </c>
      <c r="C35" s="182" t="s">
        <v>91</v>
      </c>
      <c r="D35" s="291">
        <v>2027</v>
      </c>
      <c r="E35" s="182" t="s">
        <v>91</v>
      </c>
      <c r="T35" s="4">
        <v>175104</v>
      </c>
    </row>
    <row r="36" spans="1:20" ht="19">
      <c r="A36" s="182">
        <v>6508835</v>
      </c>
      <c r="B36" s="297" t="s">
        <v>231</v>
      </c>
      <c r="C36" s="182" t="s">
        <v>91</v>
      </c>
      <c r="D36" s="291">
        <v>2027</v>
      </c>
      <c r="E36" s="182" t="s">
        <v>91</v>
      </c>
      <c r="T36" s="4">
        <v>174405</v>
      </c>
    </row>
    <row r="37" spans="1:20" ht="19">
      <c r="A37" s="182">
        <v>6508829</v>
      </c>
      <c r="B37" s="297" t="s">
        <v>232</v>
      </c>
      <c r="C37" s="182" t="s">
        <v>91</v>
      </c>
      <c r="D37" s="291">
        <v>2027</v>
      </c>
      <c r="E37" s="182" t="s">
        <v>91</v>
      </c>
      <c r="J37" s="45"/>
      <c r="T37" s="4">
        <v>184015</v>
      </c>
    </row>
    <row r="38" spans="1:20" ht="19">
      <c r="A38" s="182">
        <v>6508830</v>
      </c>
      <c r="B38" s="297" t="s">
        <v>199</v>
      </c>
      <c r="C38" s="292" t="s">
        <v>90</v>
      </c>
      <c r="D38" s="291">
        <v>2027</v>
      </c>
      <c r="E38" s="292" t="s">
        <v>90</v>
      </c>
      <c r="T38" s="4">
        <v>152218</v>
      </c>
    </row>
    <row r="39" spans="1:20" ht="19">
      <c r="A39" s="182">
        <v>6507650</v>
      </c>
      <c r="B39" s="297" t="s">
        <v>410</v>
      </c>
      <c r="C39" s="293" t="s">
        <v>91</v>
      </c>
      <c r="D39" s="291">
        <v>2027</v>
      </c>
      <c r="E39" s="293" t="s">
        <v>91</v>
      </c>
      <c r="T39" s="28">
        <v>174435</v>
      </c>
    </row>
    <row r="40" spans="1:20" ht="19">
      <c r="A40" s="182">
        <v>6504005</v>
      </c>
      <c r="B40" s="297" t="s">
        <v>412</v>
      </c>
      <c r="C40" s="292" t="s">
        <v>90</v>
      </c>
      <c r="D40" s="291">
        <v>2027</v>
      </c>
      <c r="E40" s="292" t="s">
        <v>90</v>
      </c>
      <c r="T40" s="4">
        <v>181945</v>
      </c>
    </row>
    <row r="41" spans="1:20" ht="19">
      <c r="A41" s="182">
        <v>6504007</v>
      </c>
      <c r="B41" s="297" t="s">
        <v>414</v>
      </c>
      <c r="C41" s="292" t="s">
        <v>90</v>
      </c>
      <c r="D41" s="291">
        <v>2027</v>
      </c>
      <c r="E41" s="292" t="s">
        <v>90</v>
      </c>
      <c r="T41" s="4">
        <v>144825</v>
      </c>
    </row>
    <row r="42" spans="1:20" ht="19">
      <c r="A42" s="182">
        <v>6507678</v>
      </c>
      <c r="B42" s="297" t="s">
        <v>416</v>
      </c>
      <c r="C42" s="292" t="s">
        <v>268</v>
      </c>
      <c r="D42" s="291">
        <v>2027</v>
      </c>
      <c r="E42" s="292" t="s">
        <v>268</v>
      </c>
      <c r="T42" s="4">
        <v>181210</v>
      </c>
    </row>
    <row r="43" spans="1:20" ht="19">
      <c r="A43" s="182">
        <v>6508733</v>
      </c>
      <c r="B43" s="297" t="s">
        <v>421</v>
      </c>
      <c r="C43" s="292" t="s">
        <v>268</v>
      </c>
      <c r="D43" s="291">
        <v>2027</v>
      </c>
      <c r="E43" s="292" t="s">
        <v>268</v>
      </c>
      <c r="T43" s="4">
        <v>181306</v>
      </c>
    </row>
    <row r="44" spans="1:20" ht="19">
      <c r="A44" s="182">
        <v>6508726</v>
      </c>
      <c r="B44" s="297" t="s">
        <v>425</v>
      </c>
      <c r="C44" s="292" t="s">
        <v>91</v>
      </c>
      <c r="D44" s="291">
        <v>2027</v>
      </c>
      <c r="E44" s="292" t="s">
        <v>91</v>
      </c>
      <c r="J44" s="45"/>
      <c r="T44" s="4">
        <v>151317</v>
      </c>
    </row>
    <row r="45" spans="1:20" ht="19">
      <c r="A45" s="182">
        <v>6507666</v>
      </c>
      <c r="B45" s="297" t="s">
        <v>230</v>
      </c>
      <c r="C45" s="292" t="s">
        <v>268</v>
      </c>
      <c r="D45" s="291">
        <v>2027</v>
      </c>
      <c r="E45" s="292" t="s">
        <v>268</v>
      </c>
      <c r="T45" s="4">
        <v>141106</v>
      </c>
    </row>
    <row r="46" spans="1:20" ht="19">
      <c r="A46" s="182">
        <v>6508736</v>
      </c>
      <c r="B46" s="297" t="s">
        <v>198</v>
      </c>
      <c r="C46" s="298" t="s">
        <v>90</v>
      </c>
      <c r="D46" s="291">
        <v>2027</v>
      </c>
      <c r="E46" s="298" t="s">
        <v>90</v>
      </c>
      <c r="T46" s="4">
        <v>161306</v>
      </c>
    </row>
    <row r="47" spans="1:20" ht="19">
      <c r="A47" s="182">
        <v>6508737</v>
      </c>
      <c r="B47" s="297" t="s">
        <v>613</v>
      </c>
      <c r="C47" s="292" t="s">
        <v>91</v>
      </c>
      <c r="D47" s="291">
        <v>2027</v>
      </c>
      <c r="E47" s="292" t="s">
        <v>91</v>
      </c>
      <c r="T47" s="4">
        <v>173810</v>
      </c>
    </row>
    <row r="48" spans="1:20" ht="19">
      <c r="A48" s="182">
        <v>6506474</v>
      </c>
      <c r="B48" s="297" t="s">
        <v>614</v>
      </c>
      <c r="C48" s="292" t="s">
        <v>91</v>
      </c>
      <c r="D48" s="291">
        <v>2027</v>
      </c>
      <c r="E48" s="292" t="s">
        <v>91</v>
      </c>
      <c r="T48" s="4">
        <v>163803</v>
      </c>
    </row>
    <row r="49" spans="1:20" ht="17" customHeight="1">
      <c r="A49" s="182">
        <v>6508739</v>
      </c>
      <c r="B49" s="297" t="s">
        <v>615</v>
      </c>
      <c r="C49" s="278" t="s">
        <v>268</v>
      </c>
      <c r="D49" s="291">
        <v>2027</v>
      </c>
      <c r="E49" s="278" t="s">
        <v>268</v>
      </c>
      <c r="T49" s="4">
        <v>140626</v>
      </c>
    </row>
    <row r="50" spans="1:20" ht="19">
      <c r="A50" s="182">
        <v>6506859</v>
      </c>
      <c r="B50" s="297" t="s">
        <v>616</v>
      </c>
      <c r="C50" s="278" t="s">
        <v>91</v>
      </c>
      <c r="D50" s="291">
        <v>2027</v>
      </c>
      <c r="E50" s="278" t="s">
        <v>91</v>
      </c>
      <c r="T50" s="4">
        <v>171052</v>
      </c>
    </row>
    <row r="51" spans="1:20" ht="19">
      <c r="A51" s="182">
        <v>6505810</v>
      </c>
      <c r="B51" s="297" t="s">
        <v>617</v>
      </c>
      <c r="C51" s="278" t="s">
        <v>268</v>
      </c>
      <c r="D51" s="291">
        <v>2027</v>
      </c>
      <c r="E51" s="278" t="s">
        <v>268</v>
      </c>
      <c r="T51" s="4">
        <v>161336</v>
      </c>
    </row>
    <row r="52" spans="1:20" ht="19">
      <c r="A52" s="182">
        <v>6508732</v>
      </c>
      <c r="B52" s="297" t="s">
        <v>618</v>
      </c>
      <c r="C52" s="278" t="s">
        <v>91</v>
      </c>
      <c r="D52" s="291">
        <v>2027</v>
      </c>
      <c r="E52" s="278" t="s">
        <v>91</v>
      </c>
      <c r="T52" s="4">
        <v>151425</v>
      </c>
    </row>
    <row r="53" spans="1:20" ht="19">
      <c r="A53" s="182">
        <v>6504339</v>
      </c>
      <c r="B53" s="297" t="s">
        <v>619</v>
      </c>
      <c r="C53" s="278" t="s">
        <v>91</v>
      </c>
      <c r="D53" s="291">
        <v>2027</v>
      </c>
      <c r="E53" s="278" t="s">
        <v>91</v>
      </c>
      <c r="T53" s="4">
        <v>151132</v>
      </c>
    </row>
    <row r="54" spans="1:20" ht="19">
      <c r="A54" s="182">
        <v>6508728</v>
      </c>
      <c r="B54" s="299" t="s">
        <v>620</v>
      </c>
      <c r="C54" s="181" t="s">
        <v>91</v>
      </c>
      <c r="D54" s="291">
        <v>2027</v>
      </c>
      <c r="E54" s="181" t="s">
        <v>91</v>
      </c>
      <c r="T54" s="4">
        <v>151125</v>
      </c>
    </row>
    <row r="55" spans="1:20" ht="19">
      <c r="A55" s="182">
        <v>6508740</v>
      </c>
      <c r="B55" s="300" t="s">
        <v>621</v>
      </c>
      <c r="C55" s="278" t="s">
        <v>91</v>
      </c>
      <c r="D55" s="291">
        <v>2027</v>
      </c>
      <c r="E55" s="278" t="s">
        <v>91</v>
      </c>
      <c r="T55" s="4">
        <v>151234</v>
      </c>
    </row>
    <row r="56" spans="1:20" ht="19">
      <c r="A56" s="182">
        <v>6508729</v>
      </c>
      <c r="B56" s="297" t="s">
        <v>622</v>
      </c>
      <c r="C56" s="278" t="s">
        <v>91</v>
      </c>
      <c r="D56" s="291">
        <v>2027</v>
      </c>
      <c r="E56" s="278" t="s">
        <v>91</v>
      </c>
      <c r="T56" s="4">
        <v>171227</v>
      </c>
    </row>
    <row r="57" spans="1:20" ht="19">
      <c r="A57" s="182">
        <v>6507668</v>
      </c>
      <c r="B57" s="297" t="s">
        <v>623</v>
      </c>
      <c r="C57" s="292" t="s">
        <v>91</v>
      </c>
      <c r="D57" s="291">
        <v>2027</v>
      </c>
      <c r="E57" s="292" t="s">
        <v>91</v>
      </c>
      <c r="T57" s="4">
        <v>131017</v>
      </c>
    </row>
    <row r="58" spans="1:20" ht="19">
      <c r="A58" s="182">
        <v>6508727</v>
      </c>
      <c r="B58" s="297" t="s">
        <v>624</v>
      </c>
      <c r="C58" s="292" t="s">
        <v>91</v>
      </c>
      <c r="D58" s="291">
        <v>2027</v>
      </c>
      <c r="E58" s="292" t="s">
        <v>91</v>
      </c>
      <c r="T58" s="4">
        <v>151315</v>
      </c>
    </row>
    <row r="59" spans="1:20" ht="19">
      <c r="A59" s="182">
        <v>6508742</v>
      </c>
      <c r="B59" s="297" t="s">
        <v>625</v>
      </c>
      <c r="C59" s="296" t="s">
        <v>91</v>
      </c>
      <c r="D59" s="291">
        <v>2027</v>
      </c>
      <c r="E59" s="296" t="s">
        <v>91</v>
      </c>
      <c r="T59" s="4">
        <v>141307</v>
      </c>
    </row>
    <row r="60" spans="1:20" ht="19">
      <c r="A60" s="182">
        <v>6508741</v>
      </c>
      <c r="B60" s="297" t="s">
        <v>626</v>
      </c>
      <c r="C60" s="292" t="s">
        <v>268</v>
      </c>
      <c r="D60" s="291">
        <v>2027</v>
      </c>
      <c r="E60" s="292" t="s">
        <v>268</v>
      </c>
      <c r="T60" s="4">
        <v>120913</v>
      </c>
    </row>
    <row r="61" spans="1:20" ht="19">
      <c r="A61" s="182">
        <v>6507669</v>
      </c>
      <c r="B61" s="297" t="s">
        <v>627</v>
      </c>
      <c r="C61" s="292" t="s">
        <v>268</v>
      </c>
      <c r="D61" s="291">
        <v>2027</v>
      </c>
      <c r="E61" s="292" t="s">
        <v>268</v>
      </c>
      <c r="T61" s="4">
        <v>121406</v>
      </c>
    </row>
    <row r="62" spans="1:20" ht="19">
      <c r="A62" s="182">
        <v>6508738</v>
      </c>
      <c r="B62" s="297" t="s">
        <v>628</v>
      </c>
      <c r="C62" s="181" t="s">
        <v>268</v>
      </c>
      <c r="D62" s="291">
        <v>2027</v>
      </c>
      <c r="E62" s="181" t="s">
        <v>268</v>
      </c>
      <c r="T62" s="4">
        <v>191218</v>
      </c>
    </row>
    <row r="63" spans="1:20" ht="19">
      <c r="A63" s="182">
        <v>6508730</v>
      </c>
      <c r="B63" s="297" t="s">
        <v>629</v>
      </c>
      <c r="C63" s="278" t="s">
        <v>268</v>
      </c>
      <c r="D63" s="291">
        <v>2027</v>
      </c>
      <c r="E63" s="278" t="s">
        <v>268</v>
      </c>
      <c r="T63" s="4">
        <v>191220</v>
      </c>
    </row>
    <row r="64" spans="1:20" ht="19">
      <c r="A64" s="182">
        <v>6508734</v>
      </c>
      <c r="B64" s="290" t="s">
        <v>630</v>
      </c>
      <c r="C64" s="182" t="s">
        <v>91</v>
      </c>
      <c r="D64" s="291">
        <v>2027</v>
      </c>
      <c r="E64" s="182" t="s">
        <v>91</v>
      </c>
      <c r="T64" s="4">
        <v>131104</v>
      </c>
    </row>
    <row r="65" spans="1:20" ht="19">
      <c r="A65" s="182">
        <v>6508735</v>
      </c>
      <c r="B65" s="290" t="s">
        <v>631</v>
      </c>
      <c r="C65" s="182" t="s">
        <v>91</v>
      </c>
      <c r="D65" s="291">
        <v>2027</v>
      </c>
      <c r="E65" s="182" t="s">
        <v>91</v>
      </c>
      <c r="T65" s="4">
        <v>141219</v>
      </c>
    </row>
    <row r="66" spans="1:20" ht="19">
      <c r="A66" s="182">
        <v>6508731</v>
      </c>
      <c r="B66" s="290" t="s">
        <v>632</v>
      </c>
      <c r="C66" s="292" t="s">
        <v>90</v>
      </c>
      <c r="D66" s="291">
        <v>2027</v>
      </c>
      <c r="E66" s="292" t="s">
        <v>90</v>
      </c>
      <c r="T66" s="4">
        <v>191526</v>
      </c>
    </row>
    <row r="67" spans="1:20" ht="19">
      <c r="A67" s="182">
        <v>6506387</v>
      </c>
      <c r="B67" s="290" t="s">
        <v>633</v>
      </c>
      <c r="C67" s="293" t="s">
        <v>91</v>
      </c>
      <c r="D67" s="291">
        <v>2027</v>
      </c>
      <c r="E67" s="293" t="s">
        <v>91</v>
      </c>
      <c r="T67" s="4">
        <v>191532</v>
      </c>
    </row>
    <row r="68" spans="1:20" ht="19">
      <c r="A68" s="182">
        <v>6509068</v>
      </c>
      <c r="B68" s="290" t="s">
        <v>634</v>
      </c>
      <c r="C68" s="292" t="s">
        <v>90</v>
      </c>
      <c r="D68" s="291">
        <v>2027</v>
      </c>
      <c r="E68" s="292" t="s">
        <v>90</v>
      </c>
      <c r="T68" s="4">
        <v>191543</v>
      </c>
    </row>
    <row r="69" spans="1:20" ht="19">
      <c r="A69" s="182">
        <v>6509076</v>
      </c>
      <c r="B69" s="290" t="s">
        <v>635</v>
      </c>
      <c r="C69" s="292" t="s">
        <v>268</v>
      </c>
      <c r="D69" s="291">
        <v>2027</v>
      </c>
      <c r="E69" s="292" t="s">
        <v>268</v>
      </c>
      <c r="T69" s="4">
        <v>161615</v>
      </c>
    </row>
    <row r="70" spans="1:20" ht="19">
      <c r="A70" s="182">
        <v>6509084</v>
      </c>
      <c r="B70" s="290" t="s">
        <v>636</v>
      </c>
      <c r="C70" s="292" t="s">
        <v>268</v>
      </c>
      <c r="D70" s="291">
        <v>2027</v>
      </c>
      <c r="E70" s="292" t="s">
        <v>268</v>
      </c>
      <c r="T70" s="4">
        <v>151816</v>
      </c>
    </row>
    <row r="71" spans="1:20" ht="19">
      <c r="A71" s="182">
        <v>6508984</v>
      </c>
      <c r="B71" s="290" t="s">
        <v>637</v>
      </c>
      <c r="C71" s="292" t="s">
        <v>91</v>
      </c>
      <c r="D71" s="291">
        <v>2027</v>
      </c>
      <c r="E71" s="292" t="s">
        <v>91</v>
      </c>
      <c r="T71" s="4">
        <v>132006</v>
      </c>
    </row>
    <row r="72" spans="1:20" ht="19">
      <c r="A72" s="182">
        <v>6508985</v>
      </c>
      <c r="B72" s="290" t="s">
        <v>638</v>
      </c>
      <c r="C72" s="292" t="s">
        <v>91</v>
      </c>
      <c r="D72" s="291">
        <v>2027</v>
      </c>
      <c r="E72" s="292" t="s">
        <v>91</v>
      </c>
      <c r="T72" s="4">
        <v>121808</v>
      </c>
    </row>
    <row r="73" spans="1:20" ht="19">
      <c r="A73" s="182">
        <v>0</v>
      </c>
      <c r="B73" s="290" t="s">
        <v>639</v>
      </c>
      <c r="C73" s="292" t="s">
        <v>268</v>
      </c>
      <c r="D73" s="291">
        <v>2027</v>
      </c>
      <c r="E73" s="292" t="s">
        <v>268</v>
      </c>
      <c r="T73" s="4">
        <v>151906</v>
      </c>
    </row>
    <row r="74" spans="1:20" ht="19">
      <c r="A74" s="182">
        <v>6509069</v>
      </c>
      <c r="B74" s="290" t="s">
        <v>640</v>
      </c>
      <c r="C74" s="298" t="s">
        <v>90</v>
      </c>
      <c r="D74" s="291">
        <v>2027</v>
      </c>
      <c r="E74" s="298" t="s">
        <v>90</v>
      </c>
      <c r="F74" s="1" t="s">
        <v>270</v>
      </c>
      <c r="T74" s="4">
        <v>131904</v>
      </c>
    </row>
    <row r="75" spans="1:20" ht="19">
      <c r="A75" s="182">
        <v>6509077</v>
      </c>
      <c r="B75" s="290" t="s">
        <v>641</v>
      </c>
      <c r="C75" s="292" t="s">
        <v>91</v>
      </c>
      <c r="D75" s="291">
        <v>2027</v>
      </c>
      <c r="E75" s="292" t="s">
        <v>91</v>
      </c>
      <c r="T75" s="4">
        <v>132007</v>
      </c>
    </row>
    <row r="76" spans="1:20" ht="19">
      <c r="A76" s="182">
        <v>6509085</v>
      </c>
      <c r="B76" s="290" t="s">
        <v>642</v>
      </c>
      <c r="C76" s="292" t="s">
        <v>91</v>
      </c>
      <c r="D76" s="291">
        <v>2027</v>
      </c>
      <c r="E76" s="292" t="s">
        <v>91</v>
      </c>
      <c r="T76" s="4">
        <v>141905</v>
      </c>
    </row>
    <row r="77" spans="1:20" ht="19">
      <c r="A77" s="182">
        <v>6509070</v>
      </c>
      <c r="B77" s="290" t="s">
        <v>643</v>
      </c>
      <c r="C77" s="278" t="s">
        <v>91</v>
      </c>
      <c r="D77" s="291">
        <v>2027</v>
      </c>
      <c r="E77" s="278" t="s">
        <v>91</v>
      </c>
      <c r="T77" s="4">
        <v>191528</v>
      </c>
    </row>
    <row r="78" spans="1:20" ht="19">
      <c r="A78" s="182">
        <v>6509078</v>
      </c>
      <c r="B78" s="290" t="s">
        <v>644</v>
      </c>
      <c r="C78" s="278" t="s">
        <v>268</v>
      </c>
      <c r="D78" s="291">
        <v>2027</v>
      </c>
      <c r="E78" s="278" t="s">
        <v>268</v>
      </c>
      <c r="T78" s="4">
        <v>182027</v>
      </c>
    </row>
    <row r="79" spans="1:20" ht="19">
      <c r="A79" s="182">
        <v>6509086</v>
      </c>
      <c r="B79" s="290" t="s">
        <v>645</v>
      </c>
      <c r="C79" s="278" t="s">
        <v>90</v>
      </c>
      <c r="D79" s="291">
        <v>2027</v>
      </c>
      <c r="E79" s="278" t="s">
        <v>90</v>
      </c>
      <c r="T79" s="4">
        <v>152210</v>
      </c>
    </row>
    <row r="80" spans="1:20" ht="19">
      <c r="A80" s="182">
        <v>6509063</v>
      </c>
      <c r="B80" s="290" t="s">
        <v>646</v>
      </c>
      <c r="C80" s="278" t="s">
        <v>91</v>
      </c>
      <c r="D80" s="291">
        <v>2027</v>
      </c>
      <c r="E80" s="278" t="s">
        <v>91</v>
      </c>
      <c r="T80" s="4">
        <v>173410</v>
      </c>
    </row>
    <row r="81" spans="1:20" ht="19">
      <c r="A81" s="182">
        <v>6509071</v>
      </c>
      <c r="B81" s="290" t="s">
        <v>647</v>
      </c>
      <c r="C81" s="278" t="s">
        <v>91</v>
      </c>
      <c r="D81" s="291">
        <v>2027</v>
      </c>
      <c r="E81" s="278" t="s">
        <v>91</v>
      </c>
      <c r="T81" s="4">
        <v>153508</v>
      </c>
    </row>
    <row r="82" spans="1:20" ht="19">
      <c r="A82" s="182">
        <v>6509079</v>
      </c>
      <c r="B82" s="294" t="s">
        <v>648</v>
      </c>
      <c r="C82" s="181" t="s">
        <v>91</v>
      </c>
      <c r="D82" s="291">
        <v>2027</v>
      </c>
      <c r="E82" s="181" t="s">
        <v>91</v>
      </c>
      <c r="T82" s="29">
        <v>366674</v>
      </c>
    </row>
    <row r="83" spans="1:20" ht="19">
      <c r="A83" s="182">
        <v>6509087</v>
      </c>
      <c r="B83" s="295" t="s">
        <v>649</v>
      </c>
      <c r="C83" s="278" t="s">
        <v>91</v>
      </c>
      <c r="D83" s="291">
        <v>2027</v>
      </c>
      <c r="E83" s="278" t="s">
        <v>91</v>
      </c>
      <c r="T83" s="4">
        <v>132800</v>
      </c>
    </row>
    <row r="84" spans="1:20" ht="19">
      <c r="A84" s="182">
        <v>6509064</v>
      </c>
      <c r="B84" s="290" t="s">
        <v>650</v>
      </c>
      <c r="C84" s="292" t="s">
        <v>91</v>
      </c>
      <c r="D84" s="291">
        <v>2027</v>
      </c>
      <c r="E84" s="292" t="s">
        <v>91</v>
      </c>
      <c r="T84" s="4">
        <v>133406</v>
      </c>
    </row>
    <row r="85" spans="1:20" ht="19">
      <c r="A85" s="182">
        <v>6509072</v>
      </c>
      <c r="B85" s="290" t="s">
        <v>651</v>
      </c>
      <c r="C85" s="292" t="s">
        <v>91</v>
      </c>
      <c r="D85" s="291">
        <v>2027</v>
      </c>
      <c r="E85" s="292" t="s">
        <v>91</v>
      </c>
      <c r="T85" s="4">
        <v>193217</v>
      </c>
    </row>
    <row r="86" spans="1:20" ht="19">
      <c r="A86" s="182">
        <v>6509080</v>
      </c>
      <c r="B86" s="290" t="s">
        <v>652</v>
      </c>
      <c r="C86" s="296" t="s">
        <v>91</v>
      </c>
      <c r="D86" s="291">
        <v>2027</v>
      </c>
      <c r="E86" s="296" t="s">
        <v>91</v>
      </c>
      <c r="T86" s="4">
        <v>192816</v>
      </c>
    </row>
    <row r="87" spans="1:20" ht="19">
      <c r="A87" s="182">
        <v>6509065</v>
      </c>
      <c r="B87" s="290" t="s">
        <v>653</v>
      </c>
      <c r="C87" s="182" t="s">
        <v>91</v>
      </c>
      <c r="D87" s="291">
        <v>2027</v>
      </c>
      <c r="E87" s="182" t="s">
        <v>91</v>
      </c>
      <c r="T87" s="4">
        <v>193220</v>
      </c>
    </row>
    <row r="88" spans="1:20" ht="19">
      <c r="A88" s="182">
        <v>6509073</v>
      </c>
      <c r="B88" s="290" t="s">
        <v>654</v>
      </c>
      <c r="C88" s="292" t="s">
        <v>268</v>
      </c>
      <c r="D88" s="291">
        <v>2027</v>
      </c>
      <c r="E88" s="292" t="s">
        <v>268</v>
      </c>
      <c r="T88" s="4">
        <v>193528</v>
      </c>
    </row>
    <row r="89" spans="1:20" ht="19">
      <c r="A89" s="182">
        <v>6509081</v>
      </c>
      <c r="B89" s="290" t="s">
        <v>655</v>
      </c>
      <c r="C89" s="181" t="s">
        <v>268</v>
      </c>
      <c r="D89" s="291">
        <v>2027</v>
      </c>
      <c r="E89" s="181" t="s">
        <v>268</v>
      </c>
      <c r="T89" s="4">
        <v>193536</v>
      </c>
    </row>
    <row r="90" spans="1:20" ht="19">
      <c r="A90" s="182">
        <v>6509066</v>
      </c>
      <c r="B90" s="290" t="s">
        <v>656</v>
      </c>
      <c r="C90" s="278" t="s">
        <v>91</v>
      </c>
      <c r="D90" s="291">
        <v>2027</v>
      </c>
      <c r="E90" s="278" t="s">
        <v>91</v>
      </c>
      <c r="T90" s="4">
        <v>193839</v>
      </c>
    </row>
    <row r="91" spans="1:20" ht="18" customHeight="1">
      <c r="A91" s="182">
        <v>6509074</v>
      </c>
      <c r="B91" s="290" t="s">
        <v>657</v>
      </c>
      <c r="C91" s="292" t="s">
        <v>268</v>
      </c>
      <c r="D91" s="291">
        <v>2027</v>
      </c>
      <c r="E91" s="292" t="s">
        <v>268</v>
      </c>
      <c r="T91" s="4">
        <v>183615</v>
      </c>
    </row>
    <row r="92" spans="1:20" ht="19">
      <c r="A92" s="182">
        <v>6509082</v>
      </c>
      <c r="B92" s="297" t="s">
        <v>658</v>
      </c>
      <c r="C92" s="278" t="s">
        <v>91</v>
      </c>
      <c r="D92" s="291">
        <v>2027</v>
      </c>
      <c r="E92" s="278" t="s">
        <v>91</v>
      </c>
      <c r="T92" s="4">
        <v>173817</v>
      </c>
    </row>
    <row r="93" spans="1:20" ht="19">
      <c r="A93" s="182">
        <v>6509067</v>
      </c>
      <c r="B93" s="297" t="s">
        <v>240</v>
      </c>
      <c r="C93" s="182" t="s">
        <v>91</v>
      </c>
      <c r="D93" s="291">
        <v>2027</v>
      </c>
      <c r="E93" s="182" t="s">
        <v>91</v>
      </c>
      <c r="T93" s="4">
        <v>163920</v>
      </c>
    </row>
    <row r="94" spans="1:20" ht="19">
      <c r="A94" s="182">
        <v>6509075</v>
      </c>
      <c r="B94" s="297" t="s">
        <v>242</v>
      </c>
      <c r="C94" s="278" t="s">
        <v>268</v>
      </c>
      <c r="D94" s="291">
        <v>2027</v>
      </c>
      <c r="E94" s="278" t="s">
        <v>268</v>
      </c>
      <c r="T94" s="4">
        <v>153915</v>
      </c>
    </row>
    <row r="95" spans="1:20" ht="19">
      <c r="A95" s="182">
        <v>6509083</v>
      </c>
      <c r="B95" s="297" t="s">
        <v>241</v>
      </c>
      <c r="C95" s="182" t="s">
        <v>91</v>
      </c>
      <c r="D95" s="291">
        <v>2027</v>
      </c>
      <c r="E95" s="182" t="s">
        <v>91</v>
      </c>
      <c r="T95" s="4">
        <v>134110</v>
      </c>
    </row>
    <row r="96" spans="1:20" ht="19">
      <c r="A96" s="182">
        <v>6507467</v>
      </c>
      <c r="B96" s="297" t="s">
        <v>659</v>
      </c>
      <c r="C96" s="292" t="s">
        <v>90</v>
      </c>
      <c r="D96" s="291">
        <v>2027</v>
      </c>
      <c r="E96" s="292" t="s">
        <v>90</v>
      </c>
      <c r="T96" s="4">
        <v>134302</v>
      </c>
    </row>
    <row r="97" spans="1:20" ht="19">
      <c r="A97" s="182">
        <v>6507566</v>
      </c>
      <c r="B97" s="297" t="s">
        <v>243</v>
      </c>
      <c r="C97" s="278" t="s">
        <v>268</v>
      </c>
      <c r="D97" s="291">
        <v>2027</v>
      </c>
      <c r="E97" s="278" t="s">
        <v>268</v>
      </c>
      <c r="T97" s="4">
        <v>184320</v>
      </c>
    </row>
    <row r="98" spans="1:20" ht="19">
      <c r="A98" s="182">
        <v>6507584</v>
      </c>
      <c r="B98" s="297" t="s">
        <v>464</v>
      </c>
      <c r="C98" s="293" t="s">
        <v>91</v>
      </c>
      <c r="D98" s="291">
        <v>2027</v>
      </c>
      <c r="E98" s="293" t="s">
        <v>91</v>
      </c>
      <c r="T98" s="4">
        <v>174023</v>
      </c>
    </row>
    <row r="99" spans="1:20" ht="19">
      <c r="A99" s="182">
        <v>6507581</v>
      </c>
      <c r="B99" s="297" t="s">
        <v>466</v>
      </c>
      <c r="C99" s="278" t="s">
        <v>268</v>
      </c>
      <c r="D99" s="291">
        <v>2027</v>
      </c>
      <c r="E99" s="278" t="s">
        <v>268</v>
      </c>
      <c r="T99" s="4">
        <v>175102</v>
      </c>
    </row>
    <row r="100" spans="1:20" ht="19">
      <c r="A100" s="182">
        <v>6508716</v>
      </c>
      <c r="B100" s="297" t="s">
        <v>468</v>
      </c>
      <c r="C100" s="292" t="s">
        <v>90</v>
      </c>
      <c r="D100" s="291">
        <v>2027</v>
      </c>
      <c r="E100" s="292" t="s">
        <v>90</v>
      </c>
      <c r="T100" s="4">
        <v>185105</v>
      </c>
    </row>
    <row r="101" spans="1:20" ht="19">
      <c r="A101" s="182">
        <v>6508709</v>
      </c>
      <c r="B101" s="297" t="s">
        <v>470</v>
      </c>
      <c r="C101" s="292" t="s">
        <v>268</v>
      </c>
      <c r="D101" s="291">
        <v>2027</v>
      </c>
      <c r="E101" s="292" t="s">
        <v>268</v>
      </c>
      <c r="T101" s="4">
        <v>194004</v>
      </c>
    </row>
    <row r="102" spans="1:20" ht="19">
      <c r="A102" s="182">
        <v>6507559</v>
      </c>
      <c r="B102" s="297" t="s">
        <v>475</v>
      </c>
      <c r="C102" s="292" t="s">
        <v>268</v>
      </c>
      <c r="D102" s="291">
        <v>2027</v>
      </c>
      <c r="E102" s="292" t="s">
        <v>268</v>
      </c>
      <c r="T102" s="4">
        <v>134201</v>
      </c>
    </row>
    <row r="103" spans="1:20" ht="19">
      <c r="A103" s="182">
        <v>6508719</v>
      </c>
      <c r="B103" s="297" t="s">
        <v>478</v>
      </c>
      <c r="C103" s="292" t="s">
        <v>91</v>
      </c>
      <c r="D103" s="291">
        <v>2027</v>
      </c>
      <c r="E103" s="292" t="s">
        <v>91</v>
      </c>
      <c r="T103" s="4">
        <v>154101</v>
      </c>
    </row>
    <row r="104" spans="1:20" ht="19">
      <c r="A104" s="182">
        <v>6508720</v>
      </c>
      <c r="B104" s="297" t="s">
        <v>196</v>
      </c>
      <c r="C104" s="292" t="s">
        <v>91</v>
      </c>
      <c r="D104" s="291">
        <v>2027</v>
      </c>
      <c r="E104" s="292" t="s">
        <v>91</v>
      </c>
      <c r="T104" s="4">
        <v>154307</v>
      </c>
    </row>
    <row r="105" spans="1:20" ht="19">
      <c r="A105" s="182">
        <v>6507585</v>
      </c>
      <c r="B105" s="297" t="s">
        <v>197</v>
      </c>
      <c r="C105" s="182" t="s">
        <v>91</v>
      </c>
      <c r="D105" s="291">
        <v>2027</v>
      </c>
      <c r="E105" s="182" t="s">
        <v>91</v>
      </c>
      <c r="T105" s="4">
        <v>184214</v>
      </c>
    </row>
    <row r="106" spans="1:20" ht="19">
      <c r="A106" s="182">
        <v>6508722</v>
      </c>
      <c r="B106" s="297" t="s">
        <v>239</v>
      </c>
      <c r="C106" s="292" t="s">
        <v>268</v>
      </c>
      <c r="D106" s="291">
        <v>2027</v>
      </c>
      <c r="E106" s="292" t="s">
        <v>268</v>
      </c>
      <c r="T106" s="4">
        <v>154702</v>
      </c>
    </row>
    <row r="107" spans="1:20" ht="19">
      <c r="A107" s="182">
        <v>6507595</v>
      </c>
      <c r="B107" s="297" t="s">
        <v>660</v>
      </c>
      <c r="C107" s="292" t="s">
        <v>91</v>
      </c>
      <c r="D107" s="291">
        <v>2027</v>
      </c>
      <c r="E107" s="292" t="s">
        <v>91</v>
      </c>
      <c r="T107" s="4">
        <v>164404</v>
      </c>
    </row>
    <row r="108" spans="1:20" ht="19">
      <c r="A108" s="182">
        <v>6507567</v>
      </c>
      <c r="B108" s="297" t="s">
        <v>244</v>
      </c>
      <c r="C108" s="292" t="s">
        <v>91</v>
      </c>
      <c r="D108" s="291">
        <v>2027</v>
      </c>
      <c r="E108" s="292" t="s">
        <v>91</v>
      </c>
      <c r="T108" s="4">
        <v>184711</v>
      </c>
    </row>
    <row r="109" spans="1:20" ht="19">
      <c r="A109" s="182">
        <v>6508715</v>
      </c>
      <c r="B109" s="297" t="s">
        <v>661</v>
      </c>
      <c r="C109" s="278" t="s">
        <v>91</v>
      </c>
      <c r="D109" s="291">
        <v>2027</v>
      </c>
      <c r="E109" s="278" t="s">
        <v>91</v>
      </c>
      <c r="T109" s="4">
        <v>195004</v>
      </c>
    </row>
    <row r="110" spans="1:20" ht="19">
      <c r="A110" s="182">
        <v>6507773</v>
      </c>
      <c r="B110" s="297" t="s">
        <v>245</v>
      </c>
      <c r="C110" s="182" t="s">
        <v>91</v>
      </c>
      <c r="D110" s="291">
        <v>2027</v>
      </c>
      <c r="E110" s="182" t="s">
        <v>91</v>
      </c>
      <c r="T110" s="4">
        <v>195005</v>
      </c>
    </row>
    <row r="111" spans="1:20" ht="19">
      <c r="A111" s="182">
        <v>6508711</v>
      </c>
      <c r="B111" s="297" t="s">
        <v>662</v>
      </c>
      <c r="C111" s="278" t="s">
        <v>91</v>
      </c>
      <c r="D111" s="291">
        <v>2027</v>
      </c>
      <c r="E111" s="278" t="s">
        <v>91</v>
      </c>
      <c r="T111" s="4">
        <v>140647</v>
      </c>
    </row>
    <row r="112" spans="1:20" ht="19">
      <c r="A112" s="182">
        <v>6508723</v>
      </c>
      <c r="B112" s="297" t="s">
        <v>663</v>
      </c>
      <c r="C112" s="278" t="s">
        <v>268</v>
      </c>
      <c r="D112" s="291">
        <v>2027</v>
      </c>
      <c r="E112" s="278" t="s">
        <v>268</v>
      </c>
      <c r="T112" s="4">
        <v>130640</v>
      </c>
    </row>
    <row r="113" spans="1:20" ht="19">
      <c r="A113" s="182">
        <v>6508712</v>
      </c>
      <c r="B113" s="297" t="s">
        <v>664</v>
      </c>
      <c r="C113" s="278" t="s">
        <v>91</v>
      </c>
      <c r="D113" s="291">
        <v>2027</v>
      </c>
      <c r="E113" s="278" t="s">
        <v>91</v>
      </c>
      <c r="T113" s="4">
        <v>120633</v>
      </c>
    </row>
    <row r="114" spans="1:20" ht="19">
      <c r="A114" s="182">
        <v>6507561</v>
      </c>
      <c r="B114" s="297" t="s">
        <v>665</v>
      </c>
      <c r="C114" s="278" t="s">
        <v>91</v>
      </c>
      <c r="D114" s="291">
        <v>2027</v>
      </c>
      <c r="E114" s="278" t="s">
        <v>91</v>
      </c>
      <c r="T114" s="4">
        <v>130633</v>
      </c>
    </row>
    <row r="115" spans="1:20" ht="19">
      <c r="A115" s="182">
        <v>6508710</v>
      </c>
      <c r="B115" s="299" t="s">
        <v>666</v>
      </c>
      <c r="C115" s="181" t="s">
        <v>91</v>
      </c>
      <c r="D115" s="291">
        <v>2027</v>
      </c>
      <c r="E115" s="181" t="s">
        <v>91</v>
      </c>
      <c r="T115" s="4">
        <v>131011</v>
      </c>
    </row>
    <row r="116" spans="1:20" ht="19">
      <c r="A116" s="182">
        <v>6508725</v>
      </c>
      <c r="B116" s="300" t="s">
        <v>667</v>
      </c>
      <c r="C116" s="278" t="s">
        <v>91</v>
      </c>
      <c r="D116" s="291">
        <v>2027</v>
      </c>
      <c r="E116" s="278" t="s">
        <v>91</v>
      </c>
      <c r="T116" s="4">
        <v>171342</v>
      </c>
    </row>
    <row r="117" spans="1:20" ht="19">
      <c r="A117" s="182">
        <v>6508724</v>
      </c>
      <c r="B117" s="297" t="s">
        <v>668</v>
      </c>
      <c r="C117" s="278" t="s">
        <v>91</v>
      </c>
      <c r="D117" s="291">
        <v>2027</v>
      </c>
      <c r="E117" s="278" t="s">
        <v>91</v>
      </c>
      <c r="T117" s="4">
        <v>181242</v>
      </c>
    </row>
    <row r="118" spans="1:20" ht="19">
      <c r="A118" s="182">
        <v>6507565</v>
      </c>
      <c r="B118" s="297" t="s">
        <v>669</v>
      </c>
      <c r="C118" s="292" t="s">
        <v>91</v>
      </c>
      <c r="D118" s="291">
        <v>2027</v>
      </c>
      <c r="E118" s="292" t="s">
        <v>91</v>
      </c>
      <c r="T118" s="4">
        <v>181249</v>
      </c>
    </row>
    <row r="119" spans="1:20" ht="19">
      <c r="A119" s="182">
        <v>6508721</v>
      </c>
      <c r="B119" s="297" t="s">
        <v>670</v>
      </c>
      <c r="C119" s="292" t="s">
        <v>91</v>
      </c>
      <c r="D119" s="291">
        <v>2027</v>
      </c>
      <c r="E119" s="292" t="s">
        <v>91</v>
      </c>
      <c r="T119" s="4">
        <v>171422</v>
      </c>
    </row>
    <row r="120" spans="1:20" ht="19">
      <c r="A120" s="182">
        <v>6508713</v>
      </c>
      <c r="B120" s="297" t="s">
        <v>671</v>
      </c>
      <c r="C120" s="278" t="s">
        <v>268</v>
      </c>
      <c r="D120" s="291">
        <v>2027</v>
      </c>
      <c r="E120" s="278" t="s">
        <v>268</v>
      </c>
      <c r="T120" s="4">
        <v>191242</v>
      </c>
    </row>
    <row r="121" spans="1:20" ht="19">
      <c r="A121" s="182">
        <v>6508717</v>
      </c>
      <c r="B121" s="297" t="s">
        <v>672</v>
      </c>
      <c r="C121" s="296" t="s">
        <v>91</v>
      </c>
      <c r="D121" s="291">
        <v>2027</v>
      </c>
      <c r="E121" s="296" t="s">
        <v>91</v>
      </c>
      <c r="T121" s="4">
        <v>171224</v>
      </c>
    </row>
    <row r="122" spans="1:20" ht="19">
      <c r="A122" s="182">
        <v>6508718</v>
      </c>
      <c r="B122" s="297" t="s">
        <v>673</v>
      </c>
      <c r="C122" s="292" t="s">
        <v>268</v>
      </c>
      <c r="D122" s="291">
        <v>2027</v>
      </c>
      <c r="E122" s="292" t="s">
        <v>268</v>
      </c>
      <c r="T122" s="4">
        <v>151316</v>
      </c>
    </row>
    <row r="123" spans="1:20" ht="19">
      <c r="A123" s="182">
        <v>6508714</v>
      </c>
      <c r="B123" s="297" t="s">
        <v>674</v>
      </c>
      <c r="C123" s="292" t="s">
        <v>268</v>
      </c>
      <c r="D123" s="291">
        <v>2027</v>
      </c>
      <c r="E123" s="292" t="s">
        <v>268</v>
      </c>
      <c r="T123" s="4">
        <v>141210</v>
      </c>
    </row>
    <row r="124" spans="1:20" ht="19">
      <c r="A124" s="182">
        <v>6507466</v>
      </c>
      <c r="B124" s="297" t="s">
        <v>675</v>
      </c>
      <c r="C124" s="181" t="s">
        <v>268</v>
      </c>
      <c r="D124" s="291">
        <v>2027</v>
      </c>
      <c r="E124" s="181" t="s">
        <v>268</v>
      </c>
      <c r="T124" s="4">
        <v>181449</v>
      </c>
    </row>
    <row r="125" spans="1:20" ht="19">
      <c r="A125" s="182">
        <v>6505083</v>
      </c>
      <c r="B125" s="290" t="s">
        <v>676</v>
      </c>
      <c r="C125" s="278" t="s">
        <v>91</v>
      </c>
      <c r="D125" s="291">
        <v>2027</v>
      </c>
      <c r="E125" s="278" t="s">
        <v>91</v>
      </c>
      <c r="T125" s="4">
        <v>181561</v>
      </c>
    </row>
    <row r="126" spans="1:20" ht="19">
      <c r="A126" s="182">
        <v>6507591</v>
      </c>
      <c r="B126" s="290" t="s">
        <v>568</v>
      </c>
      <c r="C126" s="182" t="s">
        <v>91</v>
      </c>
      <c r="D126" s="291">
        <v>2027</v>
      </c>
      <c r="E126" s="182" t="s">
        <v>91</v>
      </c>
      <c r="T126" s="4">
        <v>151333</v>
      </c>
    </row>
    <row r="127" spans="1:20" ht="19">
      <c r="A127" s="182">
        <v>6507594</v>
      </c>
      <c r="B127" s="290" t="s">
        <v>569</v>
      </c>
      <c r="C127" s="182" t="s">
        <v>91</v>
      </c>
      <c r="D127" s="291">
        <v>2027</v>
      </c>
      <c r="E127" s="182" t="s">
        <v>91</v>
      </c>
      <c r="T127" s="4">
        <v>191317</v>
      </c>
    </row>
    <row r="128" spans="1:20" ht="19">
      <c r="A128" s="182">
        <v>6507580</v>
      </c>
      <c r="B128" s="290" t="s">
        <v>567</v>
      </c>
      <c r="C128" s="278" t="s">
        <v>91</v>
      </c>
      <c r="D128" s="291">
        <v>2027</v>
      </c>
      <c r="E128" s="278" t="s">
        <v>91</v>
      </c>
      <c r="T128" s="4">
        <v>191325</v>
      </c>
    </row>
    <row r="129" spans="1:20" ht="19">
      <c r="A129" s="182">
        <v>6508492</v>
      </c>
      <c r="B129" s="290" t="s">
        <v>566</v>
      </c>
      <c r="C129" s="181" t="s">
        <v>90</v>
      </c>
      <c r="D129" s="291">
        <v>2027</v>
      </c>
      <c r="E129" s="181" t="s">
        <v>90</v>
      </c>
      <c r="T129" s="4">
        <v>181616</v>
      </c>
    </row>
    <row r="130" spans="1:20" ht="19">
      <c r="A130" s="182">
        <v>6508491</v>
      </c>
      <c r="B130" s="290" t="s">
        <v>677</v>
      </c>
      <c r="C130" s="278" t="s">
        <v>268</v>
      </c>
      <c r="D130" s="291">
        <v>2027</v>
      </c>
      <c r="E130" s="278" t="s">
        <v>268</v>
      </c>
      <c r="T130" s="4">
        <v>191334</v>
      </c>
    </row>
    <row r="131" spans="1:20" ht="19">
      <c r="A131" s="182">
        <v>6508493</v>
      </c>
      <c r="B131" s="290" t="s">
        <v>351</v>
      </c>
      <c r="C131" s="293" t="s">
        <v>91</v>
      </c>
      <c r="D131" s="291">
        <v>2027</v>
      </c>
      <c r="E131" s="293" t="s">
        <v>91</v>
      </c>
      <c r="T131" s="4">
        <v>171614</v>
      </c>
    </row>
    <row r="132" spans="1:20" ht="19">
      <c r="A132" s="182">
        <v>6508618</v>
      </c>
      <c r="B132" s="290" t="s">
        <v>353</v>
      </c>
      <c r="C132" s="278" t="s">
        <v>268</v>
      </c>
      <c r="D132" s="291">
        <v>2027</v>
      </c>
      <c r="E132" s="278" t="s">
        <v>268</v>
      </c>
      <c r="T132" s="4">
        <v>161610</v>
      </c>
    </row>
    <row r="133" spans="1:20" ht="19">
      <c r="A133" s="182">
        <v>6508847</v>
      </c>
      <c r="B133" s="290" t="s">
        <v>355</v>
      </c>
      <c r="C133" s="292" t="s">
        <v>90</v>
      </c>
      <c r="D133" s="291">
        <v>2027</v>
      </c>
      <c r="E133" s="292" t="s">
        <v>90</v>
      </c>
      <c r="T133" s="4">
        <v>171512</v>
      </c>
    </row>
    <row r="134" spans="1:20" ht="19">
      <c r="A134" s="182">
        <v>6508620</v>
      </c>
      <c r="B134" s="290" t="s">
        <v>357</v>
      </c>
      <c r="C134" s="292" t="s">
        <v>268</v>
      </c>
      <c r="D134" s="291">
        <v>2027</v>
      </c>
      <c r="E134" s="292" t="s">
        <v>268</v>
      </c>
      <c r="T134" s="4">
        <v>151611</v>
      </c>
    </row>
    <row r="135" spans="1:20" ht="19">
      <c r="A135" s="182">
        <v>6508617</v>
      </c>
      <c r="B135" s="290" t="s">
        <v>362</v>
      </c>
      <c r="C135" s="292" t="s">
        <v>268</v>
      </c>
      <c r="D135" s="291">
        <v>2027</v>
      </c>
      <c r="E135" s="292" t="s">
        <v>268</v>
      </c>
      <c r="T135" s="4">
        <v>132008</v>
      </c>
    </row>
    <row r="136" spans="1:20" ht="19">
      <c r="A136" s="182">
        <v>6508840</v>
      </c>
      <c r="B136" s="290" t="s">
        <v>366</v>
      </c>
      <c r="C136" s="292" t="s">
        <v>91</v>
      </c>
      <c r="D136" s="291">
        <v>2027</v>
      </c>
      <c r="E136" s="292" t="s">
        <v>91</v>
      </c>
      <c r="T136" s="4">
        <v>132804</v>
      </c>
    </row>
    <row r="137" spans="1:20" ht="19">
      <c r="A137" s="182">
        <v>6508842</v>
      </c>
      <c r="B137" s="290" t="s">
        <v>678</v>
      </c>
      <c r="C137" s="292" t="s">
        <v>91</v>
      </c>
      <c r="D137" s="291">
        <v>2027</v>
      </c>
      <c r="E137" s="292" t="s">
        <v>91</v>
      </c>
      <c r="T137" s="4">
        <v>192420</v>
      </c>
    </row>
    <row r="138" spans="1:20" ht="19">
      <c r="A138" s="182">
        <v>6508839</v>
      </c>
      <c r="B138" s="290" t="s">
        <v>679</v>
      </c>
      <c r="C138" s="182" t="s">
        <v>91</v>
      </c>
      <c r="D138" s="291">
        <v>2027</v>
      </c>
      <c r="E138" s="182" t="s">
        <v>91</v>
      </c>
      <c r="T138" s="4">
        <v>193223</v>
      </c>
    </row>
    <row r="139" spans="1:20" ht="19">
      <c r="A139" s="182">
        <v>6508836</v>
      </c>
      <c r="B139" s="290" t="s">
        <v>680</v>
      </c>
      <c r="C139" s="292" t="s">
        <v>268</v>
      </c>
      <c r="D139" s="291">
        <v>2027</v>
      </c>
      <c r="E139" s="292" t="s">
        <v>268</v>
      </c>
      <c r="T139" s="4">
        <v>183218</v>
      </c>
    </row>
    <row r="140" spans="1:20" ht="19">
      <c r="A140" s="182">
        <v>6508841</v>
      </c>
      <c r="B140" s="290" t="s">
        <v>681</v>
      </c>
      <c r="C140" s="278" t="s">
        <v>91</v>
      </c>
      <c r="D140" s="291">
        <v>2027</v>
      </c>
      <c r="E140" s="278" t="s">
        <v>91</v>
      </c>
      <c r="T140" s="4">
        <v>191608</v>
      </c>
    </row>
    <row r="141" spans="1:20" ht="19">
      <c r="A141" s="182">
        <v>6508848</v>
      </c>
      <c r="B141" s="290" t="s">
        <v>682</v>
      </c>
      <c r="C141" s="292" t="s">
        <v>91</v>
      </c>
      <c r="D141" s="291">
        <v>2027</v>
      </c>
      <c r="E141" s="292" t="s">
        <v>91</v>
      </c>
      <c r="T141" s="4">
        <v>183211</v>
      </c>
    </row>
    <row r="142" spans="1:20" ht="19">
      <c r="A142" s="182">
        <v>6508845</v>
      </c>
      <c r="B142" s="290" t="s">
        <v>683</v>
      </c>
      <c r="C142" s="278" t="s">
        <v>91</v>
      </c>
      <c r="D142" s="291">
        <v>2027</v>
      </c>
      <c r="E142" s="278" t="s">
        <v>91</v>
      </c>
      <c r="T142" s="4">
        <v>163307</v>
      </c>
    </row>
    <row r="143" spans="1:20" ht="19">
      <c r="A143" s="182">
        <v>6508846</v>
      </c>
      <c r="B143" s="290" t="s">
        <v>684</v>
      </c>
      <c r="C143" s="182" t="s">
        <v>91</v>
      </c>
      <c r="D143" s="291">
        <v>2027</v>
      </c>
      <c r="E143" s="182" t="s">
        <v>91</v>
      </c>
      <c r="T143" s="4">
        <v>152706</v>
      </c>
    </row>
    <row r="144" spans="1:20" ht="19">
      <c r="A144" s="182">
        <v>6508844</v>
      </c>
      <c r="B144" s="290" t="s">
        <v>570</v>
      </c>
      <c r="C144" s="278" t="s">
        <v>91</v>
      </c>
      <c r="D144" s="291">
        <v>2027</v>
      </c>
      <c r="E144" s="278" t="s">
        <v>91</v>
      </c>
      <c r="T144" s="4">
        <v>143907</v>
      </c>
    </row>
    <row r="145" spans="1:20" ht="19">
      <c r="A145" s="182">
        <v>6508838</v>
      </c>
      <c r="B145" s="290" t="s">
        <v>685</v>
      </c>
      <c r="C145" s="278" t="s">
        <v>268</v>
      </c>
      <c r="D145" s="291">
        <v>2027</v>
      </c>
      <c r="E145" s="278" t="s">
        <v>268</v>
      </c>
      <c r="T145" s="4">
        <v>153412</v>
      </c>
    </row>
    <row r="146" spans="1:20" ht="19">
      <c r="A146" s="182">
        <v>6508843</v>
      </c>
      <c r="B146" s="290" t="s">
        <v>686</v>
      </c>
      <c r="C146" s="278" t="s">
        <v>91</v>
      </c>
      <c r="D146" s="291">
        <v>2027</v>
      </c>
      <c r="E146" s="278" t="s">
        <v>91</v>
      </c>
      <c r="T146" s="4">
        <v>143905</v>
      </c>
    </row>
    <row r="147" spans="1:20" ht="19">
      <c r="A147" s="182">
        <v>6508837</v>
      </c>
      <c r="B147" s="290" t="s">
        <v>687</v>
      </c>
      <c r="C147" s="278" t="s">
        <v>91</v>
      </c>
      <c r="D147" s="291">
        <v>2027</v>
      </c>
      <c r="E147" s="278" t="s">
        <v>91</v>
      </c>
      <c r="T147" s="4">
        <v>134105</v>
      </c>
    </row>
    <row r="148" spans="1:20" ht="19">
      <c r="A148" s="182">
        <v>6503440</v>
      </c>
      <c r="B148" s="294" t="s">
        <v>688</v>
      </c>
      <c r="C148" s="181" t="s">
        <v>91</v>
      </c>
      <c r="D148" s="291">
        <v>2027</v>
      </c>
      <c r="E148" s="181" t="s">
        <v>91</v>
      </c>
      <c r="T148" s="4">
        <v>193937</v>
      </c>
    </row>
    <row r="149" spans="1:20" ht="19">
      <c r="A149" s="182">
        <v>6509061</v>
      </c>
      <c r="B149" s="295" t="s">
        <v>689</v>
      </c>
      <c r="C149" s="278" t="s">
        <v>91</v>
      </c>
      <c r="D149" s="291">
        <v>2027</v>
      </c>
      <c r="E149" s="278" t="s">
        <v>91</v>
      </c>
      <c r="T149" s="4">
        <v>194027</v>
      </c>
    </row>
    <row r="150" spans="1:20" ht="19">
      <c r="A150" s="182">
        <v>6509059</v>
      </c>
      <c r="B150" s="290" t="s">
        <v>690</v>
      </c>
      <c r="C150" s="278" t="s">
        <v>91</v>
      </c>
      <c r="D150" s="291">
        <v>2027</v>
      </c>
      <c r="E150" s="278" t="s">
        <v>91</v>
      </c>
      <c r="T150" s="4">
        <v>140758</v>
      </c>
    </row>
    <row r="151" spans="1:20" ht="19">
      <c r="A151" s="182">
        <v>6506493</v>
      </c>
      <c r="B151" s="290" t="s">
        <v>691</v>
      </c>
      <c r="C151" s="292" t="s">
        <v>91</v>
      </c>
      <c r="D151" s="291">
        <v>2027</v>
      </c>
      <c r="E151" s="292" t="s">
        <v>91</v>
      </c>
      <c r="T151" s="4">
        <v>170839</v>
      </c>
    </row>
    <row r="152" spans="1:20" ht="19">
      <c r="A152" s="182">
        <v>6507470</v>
      </c>
      <c r="B152" s="290" t="s">
        <v>692</v>
      </c>
      <c r="C152" s="292" t="s">
        <v>91</v>
      </c>
      <c r="D152" s="291">
        <v>2027</v>
      </c>
      <c r="E152" s="292" t="s">
        <v>91</v>
      </c>
      <c r="T152" s="4">
        <v>130858</v>
      </c>
    </row>
    <row r="153" spans="1:20" ht="19">
      <c r="A153" s="182">
        <v>6507892</v>
      </c>
      <c r="B153" s="290" t="s">
        <v>693</v>
      </c>
      <c r="C153" s="278" t="s">
        <v>268</v>
      </c>
      <c r="D153" s="291">
        <v>2027</v>
      </c>
      <c r="E153" s="278" t="s">
        <v>268</v>
      </c>
      <c r="T153" s="4">
        <v>150956</v>
      </c>
    </row>
    <row r="154" spans="1:20" ht="19">
      <c r="A154" s="182">
        <v>6507802</v>
      </c>
      <c r="B154" s="290" t="s">
        <v>694</v>
      </c>
      <c r="C154" s="296" t="s">
        <v>91</v>
      </c>
      <c r="D154" s="291">
        <v>2027</v>
      </c>
      <c r="E154" s="296" t="s">
        <v>91</v>
      </c>
      <c r="T154" s="4">
        <v>160952</v>
      </c>
    </row>
    <row r="155" spans="1:20" ht="19">
      <c r="A155" s="182">
        <v>6508909</v>
      </c>
      <c r="B155" s="290" t="s">
        <v>695</v>
      </c>
      <c r="C155" s="292" t="s">
        <v>268</v>
      </c>
      <c r="D155" s="291">
        <v>2027</v>
      </c>
      <c r="E155" s="292" t="s">
        <v>268</v>
      </c>
      <c r="T155" s="4">
        <v>120735</v>
      </c>
    </row>
    <row r="156" spans="1:20" ht="19">
      <c r="A156" s="182">
        <v>6508849</v>
      </c>
      <c r="B156" s="290" t="s">
        <v>696</v>
      </c>
      <c r="C156" s="292" t="s">
        <v>268</v>
      </c>
      <c r="D156" s="291">
        <v>2027</v>
      </c>
      <c r="E156" s="292" t="s">
        <v>268</v>
      </c>
      <c r="T156" s="4">
        <v>130749</v>
      </c>
    </row>
    <row r="157" spans="1:20" ht="19">
      <c r="A157" s="182">
        <v>6508853</v>
      </c>
      <c r="B157" s="290" t="s">
        <v>697</v>
      </c>
      <c r="C157" s="181" t="s">
        <v>268</v>
      </c>
      <c r="D157" s="291">
        <v>2027</v>
      </c>
      <c r="E157" s="181" t="s">
        <v>268</v>
      </c>
      <c r="T157" s="4">
        <v>141064</v>
      </c>
    </row>
    <row r="158" spans="1:20" ht="19">
      <c r="A158" s="182">
        <v>6507957</v>
      </c>
      <c r="B158" s="297" t="s">
        <v>391</v>
      </c>
      <c r="C158" s="293" t="s">
        <v>91</v>
      </c>
      <c r="D158" s="291">
        <v>2027</v>
      </c>
      <c r="E158" s="293" t="s">
        <v>91</v>
      </c>
      <c r="T158" s="4">
        <v>151058</v>
      </c>
    </row>
    <row r="159" spans="1:20" ht="19">
      <c r="A159" s="182">
        <v>6508855</v>
      </c>
      <c r="B159" s="297" t="s">
        <v>393</v>
      </c>
      <c r="C159" s="278" t="s">
        <v>268</v>
      </c>
      <c r="D159" s="291">
        <v>2027</v>
      </c>
      <c r="E159" s="278" t="s">
        <v>268</v>
      </c>
      <c r="T159" s="4">
        <v>161164</v>
      </c>
    </row>
    <row r="160" spans="1:20" ht="19">
      <c r="A160" s="182">
        <v>6507809</v>
      </c>
      <c r="B160" s="297" t="s">
        <v>395</v>
      </c>
      <c r="C160" s="292" t="s">
        <v>90</v>
      </c>
      <c r="D160" s="291">
        <v>2027</v>
      </c>
      <c r="E160" s="292" t="s">
        <v>90</v>
      </c>
      <c r="T160" s="4">
        <v>181163</v>
      </c>
    </row>
    <row r="161" spans="1:20" ht="19">
      <c r="A161" s="182">
        <v>6507796</v>
      </c>
      <c r="B161" s="297" t="s">
        <v>397</v>
      </c>
      <c r="C161" s="292" t="s">
        <v>268</v>
      </c>
      <c r="D161" s="291">
        <v>2027</v>
      </c>
      <c r="E161" s="292" t="s">
        <v>268</v>
      </c>
      <c r="T161" s="4">
        <v>140849</v>
      </c>
    </row>
    <row r="162" spans="1:20" ht="19">
      <c r="A162" s="182">
        <v>6507468</v>
      </c>
      <c r="B162" s="297" t="s">
        <v>402</v>
      </c>
      <c r="C162" s="292" t="s">
        <v>268</v>
      </c>
      <c r="D162" s="291">
        <v>2027</v>
      </c>
      <c r="E162" s="292" t="s">
        <v>268</v>
      </c>
      <c r="T162" s="4">
        <v>141050</v>
      </c>
    </row>
    <row r="163" spans="1:20" ht="19">
      <c r="A163" s="182">
        <v>6508850</v>
      </c>
      <c r="B163" s="297" t="s">
        <v>406</v>
      </c>
      <c r="C163" s="292" t="s">
        <v>91</v>
      </c>
      <c r="D163" s="291">
        <v>2027</v>
      </c>
      <c r="E163" s="292" t="s">
        <v>91</v>
      </c>
      <c r="T163" s="4">
        <v>151335</v>
      </c>
    </row>
    <row r="164" spans="1:20" ht="19">
      <c r="A164" s="182">
        <v>6508857</v>
      </c>
      <c r="B164" s="297" t="s">
        <v>698</v>
      </c>
      <c r="C164" s="182" t="s">
        <v>91</v>
      </c>
      <c r="D164" s="291">
        <v>2027</v>
      </c>
      <c r="E164" s="182" t="s">
        <v>91</v>
      </c>
      <c r="T164" s="4">
        <v>151264</v>
      </c>
    </row>
    <row r="165" spans="1:20" ht="19">
      <c r="A165" s="182">
        <v>6508856</v>
      </c>
      <c r="B165" s="297" t="s">
        <v>264</v>
      </c>
      <c r="C165" s="278" t="s">
        <v>91</v>
      </c>
      <c r="D165" s="291">
        <v>2027</v>
      </c>
      <c r="E165" s="278" t="s">
        <v>91</v>
      </c>
      <c r="T165" s="4">
        <v>181246</v>
      </c>
    </row>
    <row r="166" spans="1:20" ht="19">
      <c r="A166" s="182">
        <v>6508851</v>
      </c>
      <c r="B166" s="297" t="s">
        <v>200</v>
      </c>
      <c r="C166" s="292" t="s">
        <v>90</v>
      </c>
      <c r="D166" s="291">
        <v>2027</v>
      </c>
      <c r="E166" s="292" t="s">
        <v>90</v>
      </c>
      <c r="T166" s="4">
        <v>120822</v>
      </c>
    </row>
    <row r="167" spans="1:20" ht="19">
      <c r="A167" s="182">
        <v>6508854</v>
      </c>
      <c r="B167" s="297" t="s">
        <v>699</v>
      </c>
      <c r="C167" s="278" t="s">
        <v>91</v>
      </c>
      <c r="D167" s="291">
        <v>2027</v>
      </c>
      <c r="E167" s="278" t="s">
        <v>91</v>
      </c>
      <c r="T167" s="4">
        <v>131021</v>
      </c>
    </row>
    <row r="168" spans="1:20" ht="19">
      <c r="A168" s="182">
        <v>6508852</v>
      </c>
      <c r="B168" s="297" t="s">
        <v>98</v>
      </c>
      <c r="C168" s="292" t="s">
        <v>91</v>
      </c>
      <c r="D168" s="291">
        <v>2027</v>
      </c>
      <c r="E168" s="292" t="s">
        <v>91</v>
      </c>
      <c r="T168" s="4">
        <v>151433</v>
      </c>
    </row>
    <row r="169" spans="1:20" ht="19">
      <c r="A169" s="182">
        <v>6507794</v>
      </c>
      <c r="B169" s="297" t="s">
        <v>263</v>
      </c>
      <c r="C169" s="292" t="s">
        <v>268</v>
      </c>
      <c r="D169" s="291">
        <v>2027</v>
      </c>
      <c r="E169" s="292" t="s">
        <v>268</v>
      </c>
      <c r="T169" s="4">
        <v>151239</v>
      </c>
    </row>
    <row r="170" spans="1:20" ht="19">
      <c r="A170" s="182">
        <v>6508908</v>
      </c>
      <c r="B170" s="297" t="s">
        <v>700</v>
      </c>
      <c r="C170" s="298" t="s">
        <v>90</v>
      </c>
      <c r="D170" s="291">
        <v>2027</v>
      </c>
      <c r="E170" s="298" t="s">
        <v>90</v>
      </c>
      <c r="T170" s="4">
        <v>161442</v>
      </c>
    </row>
    <row r="171" spans="1:20" ht="19">
      <c r="A171" s="182">
        <v>6505352</v>
      </c>
      <c r="B171" s="297" t="s">
        <v>701</v>
      </c>
      <c r="C171" s="278" t="s">
        <v>91</v>
      </c>
      <c r="D171" s="291">
        <v>2027</v>
      </c>
      <c r="E171" s="278" t="s">
        <v>91</v>
      </c>
      <c r="T171" s="4">
        <v>161539</v>
      </c>
    </row>
    <row r="172" spans="1:20" ht="19">
      <c r="A172" s="182">
        <v>6505110</v>
      </c>
      <c r="B172" s="297" t="s">
        <v>702</v>
      </c>
      <c r="C172" s="278" t="s">
        <v>91</v>
      </c>
      <c r="D172" s="291">
        <v>2027</v>
      </c>
      <c r="E172" s="278" t="s">
        <v>91</v>
      </c>
      <c r="T172" s="4">
        <v>161361</v>
      </c>
    </row>
    <row r="173" spans="1:20" ht="19">
      <c r="A173" s="182">
        <v>6505109</v>
      </c>
      <c r="B173" s="297" t="s">
        <v>703</v>
      </c>
      <c r="C173" s="278" t="s">
        <v>91</v>
      </c>
      <c r="D173" s="291">
        <v>2027</v>
      </c>
      <c r="E173" s="278" t="s">
        <v>91</v>
      </c>
      <c r="T173" s="4">
        <v>161362</v>
      </c>
    </row>
    <row r="174" spans="1:20" ht="19">
      <c r="A174" s="182">
        <v>6505115</v>
      </c>
      <c r="B174" s="297" t="s">
        <v>704</v>
      </c>
      <c r="C174" s="278" t="s">
        <v>268</v>
      </c>
      <c r="D174" s="291">
        <v>2027</v>
      </c>
      <c r="E174" s="278" t="s">
        <v>268</v>
      </c>
      <c r="T174" s="4">
        <v>171449</v>
      </c>
    </row>
    <row r="175" spans="1:20" ht="19">
      <c r="A175" s="182">
        <v>6508910</v>
      </c>
      <c r="B175" s="297" t="s">
        <v>705</v>
      </c>
      <c r="C175" s="278" t="s">
        <v>91</v>
      </c>
      <c r="D175" s="291">
        <v>2027</v>
      </c>
      <c r="E175" s="278" t="s">
        <v>91</v>
      </c>
      <c r="T175" s="4">
        <v>191429</v>
      </c>
    </row>
    <row r="176" spans="1:20" ht="19">
      <c r="A176" s="182">
        <v>6508751</v>
      </c>
      <c r="B176" s="297" t="s">
        <v>706</v>
      </c>
      <c r="C176" s="292" t="s">
        <v>91</v>
      </c>
      <c r="D176" s="291">
        <v>2027</v>
      </c>
      <c r="E176" s="292" t="s">
        <v>91</v>
      </c>
      <c r="T176" s="4">
        <v>151626</v>
      </c>
    </row>
    <row r="177" spans="1:20" ht="19">
      <c r="A177" s="182">
        <v>6508743</v>
      </c>
      <c r="B177" s="297" t="s">
        <v>707</v>
      </c>
      <c r="C177" s="181" t="s">
        <v>91</v>
      </c>
      <c r="D177" s="291">
        <v>2027</v>
      </c>
      <c r="E177" s="181" t="s">
        <v>91</v>
      </c>
      <c r="T177" s="4">
        <v>181550</v>
      </c>
    </row>
    <row r="178" spans="1:20" ht="19">
      <c r="A178" s="182">
        <v>6508744</v>
      </c>
      <c r="B178" s="297" t="s">
        <v>708</v>
      </c>
      <c r="C178" s="296" t="s">
        <v>91</v>
      </c>
      <c r="D178" s="291">
        <v>2027</v>
      </c>
      <c r="E178" s="296" t="s">
        <v>91</v>
      </c>
      <c r="T178" s="4">
        <v>181551</v>
      </c>
    </row>
    <row r="179" spans="1:20" ht="19">
      <c r="A179" s="182">
        <v>6508754</v>
      </c>
      <c r="B179" s="297" t="s">
        <v>709</v>
      </c>
      <c r="C179" s="292" t="s">
        <v>268</v>
      </c>
      <c r="D179" s="291">
        <v>2027</v>
      </c>
      <c r="E179" s="292" t="s">
        <v>268</v>
      </c>
      <c r="T179" s="4">
        <v>191759</v>
      </c>
    </row>
    <row r="180" spans="1:20" ht="19">
      <c r="A180" s="182">
        <v>6508755</v>
      </c>
      <c r="B180" s="297" t="s">
        <v>710</v>
      </c>
      <c r="C180" s="292" t="s">
        <v>268</v>
      </c>
      <c r="D180" s="291">
        <v>2027</v>
      </c>
      <c r="E180" s="292" t="s">
        <v>268</v>
      </c>
      <c r="T180" s="4">
        <v>191525</v>
      </c>
    </row>
    <row r="181" spans="1:20" ht="19">
      <c r="A181" s="182">
        <v>6506867</v>
      </c>
      <c r="B181" s="297" t="s">
        <v>711</v>
      </c>
      <c r="C181" s="181" t="s">
        <v>268</v>
      </c>
      <c r="D181" s="291">
        <v>2027</v>
      </c>
      <c r="E181" s="181" t="s">
        <v>268</v>
      </c>
      <c r="T181" s="4">
        <v>181756</v>
      </c>
    </row>
    <row r="182" spans="1:20" ht="19">
      <c r="A182" s="182">
        <v>6508757</v>
      </c>
      <c r="B182" s="290" t="s">
        <v>508</v>
      </c>
      <c r="C182" s="293" t="s">
        <v>91</v>
      </c>
      <c r="D182" s="291">
        <v>2027</v>
      </c>
      <c r="E182" s="293" t="s">
        <v>91</v>
      </c>
      <c r="T182" s="4">
        <v>171842</v>
      </c>
    </row>
    <row r="183" spans="1:20" ht="19">
      <c r="A183" s="182">
        <v>6507616</v>
      </c>
      <c r="B183" s="290" t="s">
        <v>510</v>
      </c>
      <c r="C183" s="278" t="s">
        <v>91</v>
      </c>
      <c r="D183" s="291">
        <v>2027</v>
      </c>
      <c r="E183" s="278" t="s">
        <v>91</v>
      </c>
      <c r="T183" s="4">
        <v>181761</v>
      </c>
    </row>
    <row r="184" spans="1:20" ht="19">
      <c r="A184" s="182">
        <v>6507609</v>
      </c>
      <c r="B184" s="290" t="s">
        <v>512</v>
      </c>
      <c r="C184" s="292" t="s">
        <v>268</v>
      </c>
      <c r="D184" s="291">
        <v>2027</v>
      </c>
      <c r="E184" s="292" t="s">
        <v>268</v>
      </c>
      <c r="T184" s="4">
        <v>181760</v>
      </c>
    </row>
    <row r="185" spans="1:20" ht="19">
      <c r="A185" s="182">
        <v>6508750</v>
      </c>
      <c r="B185" s="290" t="s">
        <v>517</v>
      </c>
      <c r="C185" s="292" t="s">
        <v>268</v>
      </c>
      <c r="D185" s="291">
        <v>2027</v>
      </c>
      <c r="E185" s="292" t="s">
        <v>268</v>
      </c>
      <c r="T185" s="4">
        <v>191726</v>
      </c>
    </row>
    <row r="186" spans="1:20" ht="19">
      <c r="A186" s="182">
        <v>6505432</v>
      </c>
      <c r="B186" s="290" t="s">
        <v>521</v>
      </c>
      <c r="C186" s="292" t="s">
        <v>91</v>
      </c>
      <c r="D186" s="291">
        <v>2027</v>
      </c>
      <c r="E186" s="292" t="s">
        <v>91</v>
      </c>
      <c r="T186" s="4">
        <v>191940</v>
      </c>
    </row>
    <row r="187" spans="1:20" ht="19">
      <c r="A187" s="182">
        <v>6508745</v>
      </c>
      <c r="B187" s="290" t="s">
        <v>256</v>
      </c>
      <c r="C187" s="182" t="s">
        <v>91</v>
      </c>
      <c r="D187" s="291">
        <v>2027</v>
      </c>
      <c r="E187" s="182" t="s">
        <v>91</v>
      </c>
      <c r="T187" s="4">
        <v>151912</v>
      </c>
    </row>
    <row r="188" spans="1:20" ht="19">
      <c r="A188" s="182">
        <v>6508758</v>
      </c>
      <c r="B188" s="290" t="s">
        <v>712</v>
      </c>
      <c r="C188" s="292" t="s">
        <v>90</v>
      </c>
      <c r="D188" s="291">
        <v>2027</v>
      </c>
      <c r="E188" s="292" t="s">
        <v>90</v>
      </c>
      <c r="T188" s="4">
        <v>173936</v>
      </c>
    </row>
    <row r="189" spans="1:20" ht="19">
      <c r="A189" s="182">
        <v>6508747</v>
      </c>
      <c r="B189" s="290" t="s">
        <v>713</v>
      </c>
      <c r="C189" s="292" t="s">
        <v>91</v>
      </c>
      <c r="D189" s="291">
        <v>2027</v>
      </c>
      <c r="E189" s="292" t="s">
        <v>91</v>
      </c>
      <c r="T189" s="4">
        <v>184043</v>
      </c>
    </row>
    <row r="190" spans="1:20" ht="19">
      <c r="A190" s="182">
        <v>6506405</v>
      </c>
      <c r="B190" s="290" t="s">
        <v>253</v>
      </c>
      <c r="C190" s="292" t="s">
        <v>268</v>
      </c>
      <c r="D190" s="291">
        <v>2027</v>
      </c>
      <c r="E190" s="292" t="s">
        <v>268</v>
      </c>
      <c r="T190" s="4">
        <v>194037</v>
      </c>
    </row>
    <row r="191" spans="1:20" ht="19">
      <c r="A191" s="182">
        <v>6508746</v>
      </c>
      <c r="B191" s="290" t="s">
        <v>254</v>
      </c>
      <c r="C191" s="182" t="s">
        <v>91</v>
      </c>
      <c r="D191" s="291">
        <v>2027</v>
      </c>
      <c r="E191" s="182" t="s">
        <v>91</v>
      </c>
      <c r="T191" s="4">
        <v>194058</v>
      </c>
    </row>
    <row r="192" spans="1:20" ht="19">
      <c r="A192" s="182">
        <v>6508760</v>
      </c>
      <c r="B192" s="290" t="s">
        <v>255</v>
      </c>
      <c r="C192" s="292" t="s">
        <v>91</v>
      </c>
      <c r="D192" s="291">
        <v>2027</v>
      </c>
      <c r="E192" s="292" t="s">
        <v>91</v>
      </c>
      <c r="T192" s="4">
        <v>164134</v>
      </c>
    </row>
    <row r="193" spans="1:20" ht="19">
      <c r="A193" s="182">
        <v>6508759</v>
      </c>
      <c r="B193" s="290" t="s">
        <v>714</v>
      </c>
      <c r="C193" s="292" t="s">
        <v>90</v>
      </c>
      <c r="D193" s="291">
        <v>2027</v>
      </c>
      <c r="E193" s="292" t="s">
        <v>90</v>
      </c>
      <c r="T193" s="4">
        <v>184252</v>
      </c>
    </row>
    <row r="194" spans="1:20" ht="19">
      <c r="A194" s="182">
        <v>6506896</v>
      </c>
      <c r="B194" s="290" t="s">
        <v>715</v>
      </c>
      <c r="C194" s="278" t="s">
        <v>91</v>
      </c>
      <c r="D194" s="291">
        <v>2027</v>
      </c>
      <c r="E194" s="278" t="s">
        <v>91</v>
      </c>
      <c r="T194" s="4">
        <v>194340</v>
      </c>
    </row>
    <row r="195" spans="1:20" ht="19">
      <c r="A195" s="182">
        <v>6508756</v>
      </c>
      <c r="B195" s="290" t="s">
        <v>716</v>
      </c>
      <c r="C195" s="292" t="s">
        <v>91</v>
      </c>
      <c r="D195" s="291">
        <v>2027</v>
      </c>
      <c r="E195" s="292" t="s">
        <v>91</v>
      </c>
      <c r="T195" s="4">
        <v>154427</v>
      </c>
    </row>
    <row r="196" spans="1:20" ht="19">
      <c r="A196" s="182">
        <v>6508748</v>
      </c>
      <c r="B196" s="290" t="s">
        <v>717</v>
      </c>
      <c r="C196" s="296" t="s">
        <v>91</v>
      </c>
      <c r="D196" s="291">
        <v>2027</v>
      </c>
      <c r="E196" s="296" t="s">
        <v>91</v>
      </c>
      <c r="T196" s="4">
        <v>164427</v>
      </c>
    </row>
    <row r="197" spans="1:20" ht="19">
      <c r="A197" s="182">
        <v>6508752</v>
      </c>
      <c r="B197" s="290" t="s">
        <v>718</v>
      </c>
      <c r="C197" s="292" t="s">
        <v>268</v>
      </c>
      <c r="D197" s="291">
        <v>2027</v>
      </c>
      <c r="E197" s="292" t="s">
        <v>268</v>
      </c>
      <c r="T197" s="4">
        <v>174432</v>
      </c>
    </row>
    <row r="198" spans="1:20" ht="19">
      <c r="A198" s="182">
        <v>6508753</v>
      </c>
      <c r="B198" s="290" t="s">
        <v>719</v>
      </c>
      <c r="C198" s="181" t="s">
        <v>268</v>
      </c>
      <c r="D198" s="291">
        <v>2027</v>
      </c>
      <c r="E198" s="181" t="s">
        <v>268</v>
      </c>
      <c r="T198" s="4">
        <v>184432</v>
      </c>
    </row>
    <row r="199" spans="1:20" ht="19">
      <c r="A199" s="182">
        <v>6508749</v>
      </c>
      <c r="B199" s="290" t="s">
        <v>720</v>
      </c>
      <c r="C199" s="278" t="s">
        <v>91</v>
      </c>
      <c r="D199" s="291">
        <v>2027</v>
      </c>
      <c r="E199" s="278" t="s">
        <v>91</v>
      </c>
      <c r="T199" s="4">
        <v>154713</v>
      </c>
    </row>
    <row r="200" spans="1:20" ht="19">
      <c r="A200" s="182">
        <v>6508875</v>
      </c>
      <c r="B200" s="290" t="s">
        <v>721</v>
      </c>
      <c r="C200" s="292" t="s">
        <v>268</v>
      </c>
      <c r="D200" s="291">
        <v>2027</v>
      </c>
      <c r="E200" s="292" t="s">
        <v>268</v>
      </c>
      <c r="T200" s="4">
        <v>185424</v>
      </c>
    </row>
    <row r="201" spans="1:20" ht="19">
      <c r="A201" s="182">
        <v>6508858</v>
      </c>
      <c r="B201" s="290" t="s">
        <v>722</v>
      </c>
      <c r="C201" s="278" t="s">
        <v>268</v>
      </c>
      <c r="D201" s="291">
        <v>2027</v>
      </c>
      <c r="E201" s="278" t="s">
        <v>268</v>
      </c>
      <c r="T201" s="4">
        <v>195217</v>
      </c>
    </row>
    <row r="202" spans="1:20" ht="19">
      <c r="A202" s="182">
        <v>6508876</v>
      </c>
      <c r="B202" s="297" t="s">
        <v>259</v>
      </c>
      <c r="C202" s="278" t="s">
        <v>91</v>
      </c>
      <c r="D202" s="291">
        <v>2027</v>
      </c>
      <c r="E202" s="278" t="s">
        <v>91</v>
      </c>
      <c r="T202" s="4">
        <v>165924</v>
      </c>
    </row>
    <row r="203" spans="1:20" ht="19">
      <c r="A203" s="182">
        <v>6508868</v>
      </c>
      <c r="B203" s="297" t="s">
        <v>557</v>
      </c>
      <c r="C203" s="292" t="s">
        <v>90</v>
      </c>
      <c r="D203" s="291">
        <v>2027</v>
      </c>
      <c r="E203" s="292" t="s">
        <v>90</v>
      </c>
      <c r="T203" s="4">
        <v>175936</v>
      </c>
    </row>
    <row r="204" spans="1:20" ht="19">
      <c r="A204" s="182">
        <v>6508859</v>
      </c>
      <c r="B204" s="297" t="s">
        <v>523</v>
      </c>
      <c r="C204" s="278" t="s">
        <v>91</v>
      </c>
      <c r="D204" s="291">
        <v>2027</v>
      </c>
      <c r="E204" s="278" t="s">
        <v>91</v>
      </c>
      <c r="T204" s="4">
        <v>176030</v>
      </c>
    </row>
    <row r="205" spans="1:20" ht="19">
      <c r="A205" s="182">
        <v>6508867</v>
      </c>
      <c r="B205" s="297" t="s">
        <v>525</v>
      </c>
      <c r="C205" s="278" t="s">
        <v>91</v>
      </c>
      <c r="D205" s="291">
        <v>2027</v>
      </c>
      <c r="E205" s="278" t="s">
        <v>91</v>
      </c>
      <c r="T205" s="4">
        <v>186030</v>
      </c>
    </row>
    <row r="206" spans="1:20" ht="19">
      <c r="A206" s="182">
        <v>6508869</v>
      </c>
      <c r="B206" s="297" t="s">
        <v>531</v>
      </c>
      <c r="C206" s="292" t="s">
        <v>268</v>
      </c>
      <c r="D206" s="291">
        <v>2027</v>
      </c>
      <c r="E206" s="292" t="s">
        <v>268</v>
      </c>
      <c r="T206" s="4">
        <v>186033</v>
      </c>
    </row>
    <row r="207" spans="1:20" ht="19">
      <c r="A207" s="182">
        <v>6508871</v>
      </c>
      <c r="B207" s="297" t="s">
        <v>535</v>
      </c>
      <c r="C207" s="292" t="s">
        <v>91</v>
      </c>
      <c r="D207" s="291">
        <v>2027</v>
      </c>
      <c r="E207" s="292" t="s">
        <v>91</v>
      </c>
      <c r="T207" s="4">
        <v>176333</v>
      </c>
    </row>
    <row r="208" spans="1:20" ht="19">
      <c r="A208" s="182">
        <v>6508874</v>
      </c>
      <c r="B208" s="297" t="s">
        <v>195</v>
      </c>
      <c r="C208" s="292" t="s">
        <v>91</v>
      </c>
      <c r="D208" s="291">
        <v>2027</v>
      </c>
      <c r="E208" s="292" t="s">
        <v>91</v>
      </c>
      <c r="T208" s="4">
        <v>180125</v>
      </c>
    </row>
    <row r="209" spans="1:20" ht="19">
      <c r="A209" s="182">
        <v>6508865</v>
      </c>
      <c r="B209" s="297" t="s">
        <v>257</v>
      </c>
      <c r="C209" s="292" t="s">
        <v>268</v>
      </c>
      <c r="D209" s="291">
        <v>2027</v>
      </c>
      <c r="E209" s="292" t="s">
        <v>268</v>
      </c>
      <c r="T209" s="4">
        <v>160543</v>
      </c>
    </row>
    <row r="210" spans="1:20" ht="19">
      <c r="A210" s="182">
        <v>6508862</v>
      </c>
      <c r="B210" s="297" t="s">
        <v>556</v>
      </c>
      <c r="C210" s="292" t="s">
        <v>90</v>
      </c>
      <c r="D210" s="291">
        <v>2027</v>
      </c>
      <c r="E210" s="292" t="s">
        <v>90</v>
      </c>
      <c r="T210" s="4">
        <v>180540</v>
      </c>
    </row>
    <row r="211" spans="1:20" ht="19">
      <c r="A211" s="182">
        <v>6508863</v>
      </c>
      <c r="B211" s="297" t="s">
        <v>258</v>
      </c>
      <c r="C211" s="182" t="s">
        <v>91</v>
      </c>
      <c r="D211" s="291">
        <v>2027</v>
      </c>
      <c r="E211" s="182" t="s">
        <v>91</v>
      </c>
      <c r="T211" s="4">
        <v>140745</v>
      </c>
    </row>
    <row r="212" spans="1:20" ht="19">
      <c r="A212" s="182">
        <v>6508864</v>
      </c>
      <c r="B212" s="297" t="s">
        <v>723</v>
      </c>
      <c r="C212" s="278" t="s">
        <v>91</v>
      </c>
      <c r="D212" s="291">
        <v>2027</v>
      </c>
      <c r="E212" s="278" t="s">
        <v>91</v>
      </c>
      <c r="T212" s="4">
        <v>160838</v>
      </c>
    </row>
    <row r="213" spans="1:20" ht="19">
      <c r="A213" s="182">
        <v>6508861</v>
      </c>
      <c r="B213" s="297" t="s">
        <v>724</v>
      </c>
      <c r="C213" s="278" t="s">
        <v>91</v>
      </c>
      <c r="D213" s="291">
        <v>2027</v>
      </c>
      <c r="E213" s="278" t="s">
        <v>91</v>
      </c>
      <c r="T213" s="4">
        <v>190640</v>
      </c>
    </row>
    <row r="214" spans="1:20" ht="19">
      <c r="A214" s="182">
        <v>6508873</v>
      </c>
      <c r="B214" s="297" t="s">
        <v>725</v>
      </c>
      <c r="C214" s="296" t="s">
        <v>91</v>
      </c>
      <c r="D214" s="291">
        <v>2027</v>
      </c>
      <c r="E214" s="296" t="s">
        <v>91</v>
      </c>
      <c r="T214" s="4">
        <v>180228</v>
      </c>
    </row>
    <row r="215" spans="1:20" ht="19">
      <c r="A215" s="182">
        <v>6508870</v>
      </c>
      <c r="B215" s="297" t="s">
        <v>726</v>
      </c>
      <c r="C215" s="181" t="s">
        <v>268</v>
      </c>
      <c r="D215" s="291">
        <v>2027</v>
      </c>
      <c r="E215" s="181" t="s">
        <v>268</v>
      </c>
      <c r="T215" s="4">
        <v>180322</v>
      </c>
    </row>
    <row r="216" spans="1:20" ht="19">
      <c r="A216" s="182">
        <v>6508866</v>
      </c>
      <c r="B216" s="297" t="s">
        <v>727</v>
      </c>
      <c r="C216" s="292" t="s">
        <v>91</v>
      </c>
      <c r="D216" s="291">
        <v>2027</v>
      </c>
      <c r="E216" s="292" t="s">
        <v>91</v>
      </c>
      <c r="T216" s="4">
        <v>172235</v>
      </c>
    </row>
    <row r="217" spans="1:20" ht="19">
      <c r="A217" s="182">
        <v>6508872</v>
      </c>
      <c r="B217" s="297" t="s">
        <v>728</v>
      </c>
      <c r="C217" s="278" t="s">
        <v>91</v>
      </c>
      <c r="D217" s="291">
        <v>2027</v>
      </c>
      <c r="E217" s="278" t="s">
        <v>91</v>
      </c>
      <c r="T217" s="4">
        <v>170636</v>
      </c>
    </row>
    <row r="218" spans="1:20" ht="19">
      <c r="A218" s="182">
        <v>6508860</v>
      </c>
      <c r="B218" s="297" t="s">
        <v>729</v>
      </c>
      <c r="C218" s="292" t="s">
        <v>91</v>
      </c>
      <c r="D218" s="291">
        <v>2027</v>
      </c>
      <c r="E218" s="292" t="s">
        <v>91</v>
      </c>
      <c r="T218" s="4">
        <v>170935</v>
      </c>
    </row>
    <row r="219" spans="1:20" ht="19">
      <c r="A219" s="182">
        <v>6506573</v>
      </c>
      <c r="B219" s="297" t="s">
        <v>730</v>
      </c>
      <c r="C219" s="278" t="s">
        <v>268</v>
      </c>
      <c r="D219" s="291">
        <v>2027</v>
      </c>
      <c r="E219" s="278" t="s">
        <v>268</v>
      </c>
      <c r="T219" s="4">
        <v>181022</v>
      </c>
    </row>
    <row r="220" spans="1:20" ht="19">
      <c r="A220" s="182">
        <v>6505277</v>
      </c>
      <c r="B220" s="297" t="s">
        <v>731</v>
      </c>
      <c r="C220" s="278" t="s">
        <v>268</v>
      </c>
      <c r="D220" s="291">
        <v>2027</v>
      </c>
      <c r="E220" s="278" t="s">
        <v>268</v>
      </c>
      <c r="T220" s="4">
        <v>181029</v>
      </c>
    </row>
    <row r="221" spans="1:20" ht="19">
      <c r="A221" s="182">
        <v>6508915</v>
      </c>
      <c r="B221" s="290" t="s">
        <v>251</v>
      </c>
      <c r="C221" s="182" t="s">
        <v>91</v>
      </c>
      <c r="D221" s="291">
        <v>2027</v>
      </c>
      <c r="E221" s="182" t="s">
        <v>91</v>
      </c>
      <c r="T221" s="4">
        <v>181030</v>
      </c>
    </row>
    <row r="222" spans="1:20" ht="19">
      <c r="A222" s="182">
        <v>6506146</v>
      </c>
      <c r="B222" s="290" t="s">
        <v>252</v>
      </c>
      <c r="C222" s="278" t="s">
        <v>91</v>
      </c>
      <c r="D222" s="291">
        <v>2027</v>
      </c>
      <c r="E222" s="278" t="s">
        <v>91</v>
      </c>
      <c r="T222" s="4">
        <v>165427</v>
      </c>
    </row>
    <row r="223" spans="1:20" ht="19">
      <c r="A223" s="182">
        <v>6508877</v>
      </c>
      <c r="B223" s="290" t="s">
        <v>732</v>
      </c>
      <c r="C223" s="292" t="s">
        <v>90</v>
      </c>
      <c r="D223" s="291">
        <v>2027</v>
      </c>
      <c r="E223" s="292" t="s">
        <v>90</v>
      </c>
      <c r="T223" s="4">
        <v>171563</v>
      </c>
    </row>
    <row r="224" spans="1:20" ht="19">
      <c r="A224" s="182">
        <v>6508884</v>
      </c>
      <c r="B224" s="290" t="s">
        <v>733</v>
      </c>
      <c r="C224" s="182" t="s">
        <v>91</v>
      </c>
      <c r="D224" s="291">
        <v>2027</v>
      </c>
      <c r="E224" s="182" t="s">
        <v>91</v>
      </c>
      <c r="T224" s="29">
        <v>1024841</v>
      </c>
    </row>
    <row r="225" spans="1:20" ht="19">
      <c r="A225" s="182">
        <v>6508159</v>
      </c>
      <c r="B225" s="290" t="s">
        <v>734</v>
      </c>
      <c r="C225" s="292" t="s">
        <v>268</v>
      </c>
      <c r="D225" s="291">
        <v>2027</v>
      </c>
      <c r="E225" s="292" t="s">
        <v>268</v>
      </c>
      <c r="T225" s="4">
        <v>184004</v>
      </c>
    </row>
    <row r="226" spans="1:20" ht="19">
      <c r="A226" s="182">
        <v>6508886</v>
      </c>
      <c r="B226" s="290" t="s">
        <v>735</v>
      </c>
      <c r="C226" s="292" t="s">
        <v>91</v>
      </c>
      <c r="D226" s="291">
        <v>2027</v>
      </c>
      <c r="E226" s="292" t="s">
        <v>91</v>
      </c>
      <c r="T226" s="4">
        <v>183906</v>
      </c>
    </row>
    <row r="227" spans="1:20" ht="19">
      <c r="A227" s="182">
        <v>6507624</v>
      </c>
      <c r="B227" s="290" t="s">
        <v>736</v>
      </c>
      <c r="C227" s="292" t="s">
        <v>91</v>
      </c>
      <c r="D227" s="291">
        <v>2027</v>
      </c>
      <c r="E227" s="292" t="s">
        <v>91</v>
      </c>
      <c r="T227" s="4">
        <v>134305</v>
      </c>
    </row>
    <row r="228" spans="1:20" ht="19">
      <c r="A228" s="182">
        <v>6507618</v>
      </c>
      <c r="B228" s="290" t="s">
        <v>332</v>
      </c>
      <c r="C228" s="278" t="s">
        <v>91</v>
      </c>
      <c r="D228" s="291">
        <v>2027</v>
      </c>
      <c r="E228" s="278" t="s">
        <v>91</v>
      </c>
      <c r="T228" s="4">
        <v>134104</v>
      </c>
    </row>
    <row r="229" spans="1:20" ht="19">
      <c r="A229" s="182">
        <v>6505249</v>
      </c>
      <c r="B229" s="290" t="s">
        <v>334</v>
      </c>
      <c r="C229" s="278" t="s">
        <v>91</v>
      </c>
      <c r="D229" s="291">
        <v>2027</v>
      </c>
      <c r="E229" s="278" t="s">
        <v>91</v>
      </c>
      <c r="T229" s="4">
        <v>154502</v>
      </c>
    </row>
    <row r="230" spans="1:20" ht="19">
      <c r="A230" s="182">
        <v>6508878</v>
      </c>
      <c r="B230" s="290" t="s">
        <v>336</v>
      </c>
      <c r="C230" s="292" t="s">
        <v>90</v>
      </c>
      <c r="D230" s="291">
        <v>2027</v>
      </c>
      <c r="E230" s="292" t="s">
        <v>90</v>
      </c>
      <c r="T230" s="4">
        <v>161103</v>
      </c>
    </row>
    <row r="231" spans="1:20" ht="19">
      <c r="A231" s="182">
        <v>6508879</v>
      </c>
      <c r="B231" s="290" t="s">
        <v>338</v>
      </c>
      <c r="C231" s="292" t="s">
        <v>268</v>
      </c>
      <c r="D231" s="291">
        <v>2027</v>
      </c>
      <c r="E231" s="292" t="s">
        <v>268</v>
      </c>
      <c r="T231" s="4">
        <v>161406</v>
      </c>
    </row>
    <row r="232" spans="1:20" ht="19">
      <c r="A232" s="182">
        <v>6508914</v>
      </c>
      <c r="B232" s="290" t="s">
        <v>343</v>
      </c>
      <c r="C232" s="292" t="s">
        <v>268</v>
      </c>
      <c r="D232" s="291">
        <v>2027</v>
      </c>
      <c r="E232" s="292" t="s">
        <v>268</v>
      </c>
      <c r="T232" s="4">
        <v>171210</v>
      </c>
    </row>
    <row r="233" spans="1:20" ht="19">
      <c r="A233" s="182">
        <v>6508881</v>
      </c>
      <c r="B233" s="290" t="s">
        <v>347</v>
      </c>
      <c r="C233" s="292" t="s">
        <v>91</v>
      </c>
      <c r="D233" s="291">
        <v>2027</v>
      </c>
      <c r="E233" s="292" t="s">
        <v>91</v>
      </c>
      <c r="T233" s="4">
        <v>171212</v>
      </c>
    </row>
    <row r="234" spans="1:20" ht="19">
      <c r="A234" s="182">
        <v>6508885</v>
      </c>
      <c r="B234" s="290" t="s">
        <v>737</v>
      </c>
      <c r="C234" s="292" t="s">
        <v>91</v>
      </c>
      <c r="D234" s="291">
        <v>2027</v>
      </c>
      <c r="E234" s="292" t="s">
        <v>91</v>
      </c>
      <c r="T234" s="4">
        <v>181110</v>
      </c>
    </row>
    <row r="235" spans="1:20" ht="19">
      <c r="A235" s="182">
        <v>6508883</v>
      </c>
      <c r="B235" s="294" t="s">
        <v>738</v>
      </c>
      <c r="C235" s="278" t="s">
        <v>91</v>
      </c>
      <c r="D235" s="291">
        <v>2027</v>
      </c>
      <c r="E235" s="278" t="s">
        <v>91</v>
      </c>
      <c r="T235" s="4">
        <v>171562</v>
      </c>
    </row>
    <row r="236" spans="1:20" ht="19">
      <c r="A236" s="182">
        <v>6508880</v>
      </c>
      <c r="B236" s="295" t="s">
        <v>739</v>
      </c>
      <c r="C236" s="278" t="s">
        <v>91</v>
      </c>
      <c r="D236" s="291">
        <v>2027</v>
      </c>
      <c r="E236" s="278" t="s">
        <v>91</v>
      </c>
      <c r="T236" s="4">
        <v>143206</v>
      </c>
    </row>
    <row r="237" spans="1:20" ht="19">
      <c r="A237" s="182">
        <v>6508882</v>
      </c>
      <c r="B237" s="290" t="s">
        <v>740</v>
      </c>
      <c r="C237" s="278" t="s">
        <v>268</v>
      </c>
      <c r="D237" s="291">
        <v>2027</v>
      </c>
      <c r="E237" s="278" t="s">
        <v>268</v>
      </c>
      <c r="T237" s="4">
        <v>162614</v>
      </c>
    </row>
    <row r="238" spans="1:20" ht="19">
      <c r="A238" s="182">
        <v>6508913</v>
      </c>
      <c r="B238" s="290" t="s">
        <v>741</v>
      </c>
      <c r="C238" s="278" t="s">
        <v>91</v>
      </c>
      <c r="D238" s="291">
        <v>2027</v>
      </c>
      <c r="E238" s="278" t="s">
        <v>91</v>
      </c>
      <c r="T238" s="4">
        <v>132004</v>
      </c>
    </row>
    <row r="239" spans="1:20" ht="19">
      <c r="A239" s="182">
        <v>6508801</v>
      </c>
      <c r="B239" s="290" t="s">
        <v>742</v>
      </c>
      <c r="C239" s="278" t="s">
        <v>91</v>
      </c>
      <c r="D239" s="291">
        <v>2027</v>
      </c>
      <c r="E239" s="278" t="s">
        <v>91</v>
      </c>
      <c r="T239" s="4">
        <v>161710</v>
      </c>
    </row>
    <row r="240" spans="1:20" ht="19">
      <c r="A240" s="182">
        <v>6508805</v>
      </c>
      <c r="B240" s="290" t="s">
        <v>743</v>
      </c>
      <c r="C240" s="181" t="s">
        <v>91</v>
      </c>
      <c r="D240" s="291">
        <v>2027</v>
      </c>
      <c r="E240" s="181" t="s">
        <v>91</v>
      </c>
      <c r="T240" s="4">
        <v>181631</v>
      </c>
    </row>
    <row r="241" spans="1:20" ht="19">
      <c r="A241" s="182">
        <v>6506445</v>
      </c>
      <c r="B241" s="290" t="s">
        <v>744</v>
      </c>
      <c r="C241" s="278" t="s">
        <v>91</v>
      </c>
      <c r="D241" s="291">
        <v>2027</v>
      </c>
      <c r="E241" s="278" t="s">
        <v>91</v>
      </c>
      <c r="T241" s="4">
        <v>191530</v>
      </c>
    </row>
    <row r="242" spans="1:20" ht="19">
      <c r="A242" s="182">
        <v>6508807</v>
      </c>
      <c r="B242" s="290" t="s">
        <v>745</v>
      </c>
      <c r="C242" s="292" t="s">
        <v>91</v>
      </c>
      <c r="D242" s="291">
        <v>2027</v>
      </c>
      <c r="E242" s="292" t="s">
        <v>91</v>
      </c>
      <c r="T242" s="4">
        <v>131906</v>
      </c>
    </row>
    <row r="243" spans="1:20" ht="19">
      <c r="A243" s="182">
        <v>6506846</v>
      </c>
      <c r="B243" s="290" t="s">
        <v>746</v>
      </c>
      <c r="C243" s="292" t="s">
        <v>91</v>
      </c>
      <c r="D243" s="291">
        <v>2027</v>
      </c>
      <c r="E243" s="292" t="s">
        <v>91</v>
      </c>
      <c r="T243" s="4">
        <v>181762</v>
      </c>
    </row>
    <row r="244" spans="1:20" ht="19">
      <c r="A244" s="182">
        <v>6507873</v>
      </c>
      <c r="B244" s="290" t="s">
        <v>747</v>
      </c>
      <c r="C244" s="296" t="s">
        <v>91</v>
      </c>
      <c r="D244" s="291">
        <v>2027</v>
      </c>
      <c r="E244" s="296" t="s">
        <v>91</v>
      </c>
      <c r="T244" s="4">
        <v>131031</v>
      </c>
    </row>
    <row r="245" spans="1:20" ht="19">
      <c r="A245" s="182">
        <v>6506843</v>
      </c>
      <c r="B245" s="290" t="s">
        <v>748</v>
      </c>
      <c r="C245" s="292" t="s">
        <v>268</v>
      </c>
      <c r="D245" s="291">
        <v>2027</v>
      </c>
      <c r="E245" s="292" t="s">
        <v>268</v>
      </c>
      <c r="T245" s="4">
        <v>141128</v>
      </c>
    </row>
    <row r="246" spans="1:20" ht="19">
      <c r="A246" s="182">
        <v>6508802</v>
      </c>
      <c r="B246" s="290" t="s">
        <v>749</v>
      </c>
      <c r="C246" s="292" t="s">
        <v>268</v>
      </c>
      <c r="D246" s="291">
        <v>2027</v>
      </c>
      <c r="E246" s="292" t="s">
        <v>268</v>
      </c>
      <c r="T246" s="4">
        <v>151153</v>
      </c>
    </row>
    <row r="247" spans="1:20" ht="19">
      <c r="A247" s="182">
        <v>6508809</v>
      </c>
      <c r="B247" s="290" t="s">
        <v>750</v>
      </c>
      <c r="C247" s="181" t="s">
        <v>268</v>
      </c>
      <c r="D247" s="291">
        <v>2027</v>
      </c>
      <c r="E247" s="181" t="s">
        <v>268</v>
      </c>
      <c r="T247" s="4">
        <v>120720</v>
      </c>
    </row>
    <row r="248" spans="1:20" ht="19">
      <c r="A248" s="182">
        <v>6508808</v>
      </c>
      <c r="B248" s="290" t="s">
        <v>751</v>
      </c>
      <c r="C248" s="278" t="s">
        <v>268</v>
      </c>
      <c r="D248" s="291">
        <v>2027</v>
      </c>
      <c r="E248" s="278" t="s">
        <v>268</v>
      </c>
      <c r="T248" s="4">
        <v>120718</v>
      </c>
    </row>
    <row r="249" spans="1:20" ht="19">
      <c r="A249" s="182">
        <v>6508803</v>
      </c>
      <c r="B249" s="290" t="s">
        <v>752</v>
      </c>
      <c r="C249" s="182" t="s">
        <v>91</v>
      </c>
      <c r="D249" s="291">
        <v>2027</v>
      </c>
      <c r="E249" s="182" t="s">
        <v>91</v>
      </c>
      <c r="T249" s="4">
        <v>140827</v>
      </c>
    </row>
    <row r="250" spans="1:20" ht="19">
      <c r="A250" s="182">
        <v>6508806</v>
      </c>
      <c r="B250" s="297" t="s">
        <v>429</v>
      </c>
      <c r="C250" s="278" t="s">
        <v>91</v>
      </c>
      <c r="D250" s="291">
        <v>2027</v>
      </c>
      <c r="E250" s="278" t="s">
        <v>91</v>
      </c>
      <c r="T250" s="4">
        <v>130644</v>
      </c>
    </row>
    <row r="251" spans="1:20" ht="19">
      <c r="A251" s="182">
        <v>6508804</v>
      </c>
      <c r="B251" s="297" t="s">
        <v>431</v>
      </c>
      <c r="C251" s="278" t="s">
        <v>91</v>
      </c>
      <c r="D251" s="291">
        <v>2027</v>
      </c>
      <c r="E251" s="278" t="s">
        <v>91</v>
      </c>
      <c r="T251" s="4">
        <v>150756</v>
      </c>
    </row>
    <row r="252" spans="1:20" ht="19">
      <c r="A252" s="182">
        <v>6508911</v>
      </c>
      <c r="B252" s="297" t="s">
        <v>433</v>
      </c>
      <c r="C252" s="292" t="s">
        <v>90</v>
      </c>
      <c r="D252" s="291">
        <v>2027</v>
      </c>
      <c r="E252" s="292" t="s">
        <v>90</v>
      </c>
      <c r="T252" s="4">
        <v>171547</v>
      </c>
    </row>
    <row r="253" spans="1:20" ht="19">
      <c r="A253" s="182">
        <v>6508912</v>
      </c>
      <c r="B253" s="297" t="s">
        <v>435</v>
      </c>
      <c r="C253" s="292" t="s">
        <v>268</v>
      </c>
      <c r="D253" s="291">
        <v>2027</v>
      </c>
      <c r="E253" s="292" t="s">
        <v>268</v>
      </c>
      <c r="T253" s="4">
        <v>171644</v>
      </c>
    </row>
    <row r="254" spans="1:20" ht="19">
      <c r="A254" s="182">
        <v>6508539</v>
      </c>
      <c r="B254" s="297" t="s">
        <v>440</v>
      </c>
      <c r="C254" s="292" t="s">
        <v>268</v>
      </c>
      <c r="D254" s="291">
        <v>2027</v>
      </c>
      <c r="E254" s="292" t="s">
        <v>268</v>
      </c>
      <c r="T254" s="4">
        <v>181633</v>
      </c>
    </row>
    <row r="255" spans="1:20" ht="19">
      <c r="A255" s="182">
        <v>6508508</v>
      </c>
      <c r="B255" s="297" t="s">
        <v>444</v>
      </c>
      <c r="C255" s="292" t="s">
        <v>91</v>
      </c>
      <c r="D255" s="291">
        <v>2027</v>
      </c>
      <c r="E255" s="292" t="s">
        <v>91</v>
      </c>
      <c r="T255" s="4">
        <v>183531</v>
      </c>
    </row>
    <row r="256" spans="1:20" ht="19">
      <c r="A256" s="182">
        <v>6508540</v>
      </c>
      <c r="B256" s="297" t="s">
        <v>559</v>
      </c>
      <c r="C256" s="292" t="s">
        <v>90</v>
      </c>
      <c r="D256" s="291">
        <v>2027</v>
      </c>
      <c r="E256" s="292" t="s">
        <v>90</v>
      </c>
      <c r="T256" s="4">
        <v>174032</v>
      </c>
    </row>
    <row r="257" spans="1:20" ht="19">
      <c r="A257" s="182">
        <v>6508528</v>
      </c>
      <c r="B257" s="297" t="s">
        <v>237</v>
      </c>
      <c r="C257" s="278" t="s">
        <v>91</v>
      </c>
      <c r="D257" s="291">
        <v>2027</v>
      </c>
      <c r="E257" s="278" t="s">
        <v>91</v>
      </c>
      <c r="T257" s="4">
        <v>183946</v>
      </c>
    </row>
    <row r="258" spans="1:20" ht="19">
      <c r="A258" s="182">
        <v>6508699</v>
      </c>
      <c r="B258" s="297" t="s">
        <v>234</v>
      </c>
      <c r="C258" s="182" t="s">
        <v>91</v>
      </c>
      <c r="D258" s="291">
        <v>2027</v>
      </c>
      <c r="E258" s="182" t="s">
        <v>91</v>
      </c>
      <c r="T258" s="4">
        <v>134401</v>
      </c>
    </row>
    <row r="259" spans="1:20" ht="19">
      <c r="A259" s="182">
        <v>6508692</v>
      </c>
      <c r="B259" s="297" t="s">
        <v>235</v>
      </c>
      <c r="C259" s="292" t="s">
        <v>268</v>
      </c>
      <c r="D259" s="291">
        <v>2027</v>
      </c>
      <c r="E259" s="292" t="s">
        <v>268</v>
      </c>
      <c r="T259" s="4">
        <v>144513</v>
      </c>
    </row>
    <row r="260" spans="1:20" ht="19">
      <c r="A260" s="182">
        <v>6508509</v>
      </c>
      <c r="B260" s="297" t="s">
        <v>236</v>
      </c>
      <c r="C260" s="182" t="s">
        <v>91</v>
      </c>
      <c r="D260" s="291">
        <v>2027</v>
      </c>
      <c r="E260" s="182" t="s">
        <v>91</v>
      </c>
      <c r="T260" s="4">
        <v>174247</v>
      </c>
    </row>
    <row r="261" spans="1:20" ht="19">
      <c r="A261" s="182">
        <v>6508702</v>
      </c>
      <c r="B261" s="297" t="s">
        <v>238</v>
      </c>
      <c r="C261" s="292" t="s">
        <v>91</v>
      </c>
      <c r="D261" s="291">
        <v>2027</v>
      </c>
      <c r="E261" s="292" t="s">
        <v>91</v>
      </c>
      <c r="T261" s="4">
        <v>165421</v>
      </c>
    </row>
    <row r="262" spans="1:20" ht="19">
      <c r="A262" s="182">
        <v>6508703</v>
      </c>
      <c r="B262" s="297" t="s">
        <v>233</v>
      </c>
      <c r="C262" s="292" t="s">
        <v>91</v>
      </c>
      <c r="D262" s="291">
        <v>2027</v>
      </c>
      <c r="E262" s="292" t="s">
        <v>91</v>
      </c>
      <c r="T262" s="4">
        <v>185610</v>
      </c>
    </row>
    <row r="263" spans="1:20" ht="19">
      <c r="A263" s="182">
        <v>6508592</v>
      </c>
      <c r="B263" s="297" t="s">
        <v>558</v>
      </c>
      <c r="C263" s="292" t="s">
        <v>91</v>
      </c>
      <c r="D263" s="291">
        <v>2027</v>
      </c>
      <c r="E263" s="292" t="s">
        <v>91</v>
      </c>
      <c r="T263" s="4">
        <v>194324</v>
      </c>
    </row>
    <row r="264" spans="1:20" ht="19">
      <c r="A264" s="182">
        <v>6508705</v>
      </c>
      <c r="B264" s="299" t="s">
        <v>560</v>
      </c>
      <c r="C264" s="278" t="s">
        <v>91</v>
      </c>
      <c r="D264" s="291">
        <v>2027</v>
      </c>
      <c r="E264" s="278" t="s">
        <v>91</v>
      </c>
      <c r="T264" s="4">
        <v>156340</v>
      </c>
    </row>
    <row r="265" spans="1:20" ht="19">
      <c r="A265" s="182">
        <v>6508537</v>
      </c>
      <c r="B265" s="300" t="s">
        <v>753</v>
      </c>
      <c r="C265" s="278" t="s">
        <v>91</v>
      </c>
      <c r="D265" s="291">
        <v>2027</v>
      </c>
      <c r="E265" s="278" t="s">
        <v>91</v>
      </c>
      <c r="T265" s="4">
        <v>166240</v>
      </c>
    </row>
    <row r="266" spans="1:20" ht="19">
      <c r="A266" s="182">
        <v>6508516</v>
      </c>
      <c r="B266" s="297" t="s">
        <v>754</v>
      </c>
      <c r="C266" s="278" t="s">
        <v>268</v>
      </c>
      <c r="D266" s="291">
        <v>2027</v>
      </c>
      <c r="E266" s="278" t="s">
        <v>268</v>
      </c>
      <c r="T266" s="4">
        <v>130532</v>
      </c>
    </row>
    <row r="267" spans="1:20" ht="19">
      <c r="A267" s="182">
        <v>6508698</v>
      </c>
      <c r="B267" s="297" t="s">
        <v>755</v>
      </c>
      <c r="C267" s="278" t="s">
        <v>91</v>
      </c>
      <c r="D267" s="291">
        <v>2027</v>
      </c>
      <c r="E267" s="278" t="s">
        <v>91</v>
      </c>
      <c r="T267" s="4">
        <v>140116</v>
      </c>
    </row>
    <row r="268" spans="1:20" ht="19">
      <c r="A268" s="182">
        <v>6508513</v>
      </c>
      <c r="B268" s="297" t="s">
        <v>756</v>
      </c>
      <c r="C268" s="278" t="s">
        <v>91</v>
      </c>
      <c r="D268" s="291">
        <v>2027</v>
      </c>
      <c r="E268" s="278" t="s">
        <v>91</v>
      </c>
      <c r="T268" s="4">
        <v>156423</v>
      </c>
    </row>
    <row r="269" spans="1:20" ht="19">
      <c r="A269" s="182">
        <v>6508694</v>
      </c>
      <c r="B269" s="297" t="s">
        <v>757</v>
      </c>
      <c r="C269" s="181" t="s">
        <v>91</v>
      </c>
      <c r="D269" s="291">
        <v>2027</v>
      </c>
      <c r="E269" s="181" t="s">
        <v>91</v>
      </c>
      <c r="T269" s="4">
        <v>160439</v>
      </c>
    </row>
    <row r="270" spans="1:20" ht="19">
      <c r="A270" s="182">
        <v>6508706</v>
      </c>
      <c r="B270" s="297" t="s">
        <v>758</v>
      </c>
      <c r="C270" s="278" t="s">
        <v>91</v>
      </c>
      <c r="D270" s="291">
        <v>2027</v>
      </c>
      <c r="E270" s="278" t="s">
        <v>91</v>
      </c>
      <c r="T270" s="4">
        <v>180625</v>
      </c>
    </row>
    <row r="271" spans="1:20" ht="19">
      <c r="A271" s="182">
        <v>6508695</v>
      </c>
      <c r="B271" s="297" t="s">
        <v>759</v>
      </c>
      <c r="C271" s="292" t="s">
        <v>91</v>
      </c>
      <c r="D271" s="291">
        <v>2027</v>
      </c>
      <c r="E271" s="292" t="s">
        <v>91</v>
      </c>
      <c r="T271" s="4">
        <v>110616</v>
      </c>
    </row>
    <row r="272" spans="1:20" ht="19">
      <c r="A272" s="182">
        <v>6508512</v>
      </c>
      <c r="B272" s="297" t="s">
        <v>760</v>
      </c>
      <c r="C272" s="292" t="s">
        <v>91</v>
      </c>
      <c r="D272" s="291">
        <v>2027</v>
      </c>
      <c r="E272" s="292" t="s">
        <v>91</v>
      </c>
      <c r="T272" s="4">
        <v>130715</v>
      </c>
    </row>
    <row r="273" spans="1:20" ht="19">
      <c r="A273" s="182">
        <v>6508693</v>
      </c>
      <c r="B273" s="297" t="s">
        <v>761</v>
      </c>
      <c r="C273" s="296" t="s">
        <v>91</v>
      </c>
      <c r="D273" s="291">
        <v>2027</v>
      </c>
      <c r="E273" s="296" t="s">
        <v>91</v>
      </c>
      <c r="T273" s="4">
        <v>195025</v>
      </c>
    </row>
    <row r="274" spans="1:20" ht="19">
      <c r="A274" s="182">
        <v>6508708</v>
      </c>
      <c r="B274" s="297" t="s">
        <v>762</v>
      </c>
      <c r="C274" s="292" t="s">
        <v>268</v>
      </c>
      <c r="D274" s="291">
        <v>2027</v>
      </c>
      <c r="E274" s="292" t="s">
        <v>268</v>
      </c>
      <c r="T274" s="4">
        <v>194524</v>
      </c>
    </row>
    <row r="275" spans="1:20" ht="19">
      <c r="A275" s="182">
        <v>6508707</v>
      </c>
      <c r="B275" s="297" t="s">
        <v>763</v>
      </c>
      <c r="C275" s="292" t="s">
        <v>268</v>
      </c>
      <c r="D275" s="291">
        <v>2027</v>
      </c>
      <c r="E275" s="292" t="s">
        <v>268</v>
      </c>
      <c r="T275" s="4">
        <v>194818</v>
      </c>
    </row>
    <row r="276" spans="1:20" ht="19">
      <c r="A276" s="182">
        <v>6508515</v>
      </c>
      <c r="B276" s="297" t="s">
        <v>764</v>
      </c>
      <c r="C276" s="181" t="s">
        <v>268</v>
      </c>
      <c r="D276" s="291">
        <v>2027</v>
      </c>
      <c r="E276" s="181" t="s">
        <v>268</v>
      </c>
      <c r="T276" s="4">
        <v>174919</v>
      </c>
    </row>
    <row r="277" spans="1:20" ht="19">
      <c r="A277" s="182">
        <v>6508704</v>
      </c>
      <c r="B277" s="297" t="s">
        <v>765</v>
      </c>
      <c r="C277" s="278" t="s">
        <v>268</v>
      </c>
      <c r="D277" s="291">
        <v>2027</v>
      </c>
      <c r="E277" s="278" t="s">
        <v>268</v>
      </c>
      <c r="T277" s="4">
        <v>185612</v>
      </c>
    </row>
    <row r="278" spans="1:20" ht="19">
      <c r="A278" s="182">
        <v>6508696</v>
      </c>
      <c r="B278" s="297" t="s">
        <v>766</v>
      </c>
      <c r="C278" s="182" t="s">
        <v>91</v>
      </c>
      <c r="D278" s="291">
        <v>2027</v>
      </c>
      <c r="E278" s="182" t="s">
        <v>91</v>
      </c>
      <c r="T278" s="4">
        <v>154415</v>
      </c>
    </row>
    <row r="279" spans="1:20" ht="19">
      <c r="A279" s="182">
        <v>6508700</v>
      </c>
      <c r="B279" s="290" t="s">
        <v>767</v>
      </c>
      <c r="C279" s="278" t="s">
        <v>91</v>
      </c>
      <c r="D279" s="291">
        <v>2027</v>
      </c>
      <c r="E279" s="278" t="s">
        <v>91</v>
      </c>
      <c r="T279" s="4">
        <v>155210</v>
      </c>
    </row>
    <row r="280" spans="1:20" ht="19">
      <c r="A280" s="182">
        <v>6508701</v>
      </c>
      <c r="B280" s="290" t="s">
        <v>768</v>
      </c>
      <c r="C280" s="292" t="s">
        <v>90</v>
      </c>
      <c r="D280" s="291">
        <v>2027</v>
      </c>
      <c r="E280" s="292" t="s">
        <v>90</v>
      </c>
      <c r="T280" s="4">
        <v>185718</v>
      </c>
    </row>
    <row r="281" spans="1:20" ht="19">
      <c r="A281" s="182">
        <v>6508697</v>
      </c>
      <c r="B281" s="290" t="s">
        <v>769</v>
      </c>
      <c r="C281" s="292" t="s">
        <v>90</v>
      </c>
      <c r="D281" s="291">
        <v>2027</v>
      </c>
      <c r="E281" s="292" t="s">
        <v>90</v>
      </c>
      <c r="T281" s="4">
        <v>186024</v>
      </c>
    </row>
    <row r="282" spans="1:20" ht="19">
      <c r="A282" s="182">
        <v>6508511</v>
      </c>
      <c r="B282" s="290" t="s">
        <v>770</v>
      </c>
      <c r="C282" s="292" t="s">
        <v>91</v>
      </c>
      <c r="D282" s="291">
        <v>2027</v>
      </c>
      <c r="E282" s="292" t="s">
        <v>91</v>
      </c>
      <c r="T282" s="4">
        <v>185622</v>
      </c>
    </row>
    <row r="283" spans="1:20" ht="19">
      <c r="A283" s="182">
        <v>6508522</v>
      </c>
      <c r="B283" s="290" t="s">
        <v>771</v>
      </c>
      <c r="C283" s="292" t="s">
        <v>268</v>
      </c>
      <c r="D283" s="291">
        <v>2027</v>
      </c>
      <c r="E283" s="292" t="s">
        <v>268</v>
      </c>
      <c r="T283" s="4">
        <v>165919</v>
      </c>
    </row>
    <row r="284" spans="1:20" ht="19">
      <c r="A284" s="182">
        <v>6508533</v>
      </c>
      <c r="B284" s="290" t="s">
        <v>772</v>
      </c>
      <c r="C284" s="182" t="s">
        <v>91</v>
      </c>
      <c r="D284" s="291">
        <v>2027</v>
      </c>
      <c r="E284" s="182" t="s">
        <v>91</v>
      </c>
      <c r="T284" s="4">
        <v>155711</v>
      </c>
    </row>
    <row r="285" spans="1:20" ht="19">
      <c r="A285" s="182">
        <v>6508536</v>
      </c>
      <c r="B285" s="290" t="s">
        <v>773</v>
      </c>
      <c r="C285" s="182" t="s">
        <v>91</v>
      </c>
      <c r="D285" s="291">
        <v>2027</v>
      </c>
      <c r="E285" s="182" t="s">
        <v>91</v>
      </c>
      <c r="T285" s="4">
        <v>176323</v>
      </c>
    </row>
    <row r="286" spans="1:20" ht="19">
      <c r="A286" s="182">
        <v>6508527</v>
      </c>
      <c r="B286" s="290" t="s">
        <v>774</v>
      </c>
      <c r="C286" s="292" t="s">
        <v>268</v>
      </c>
      <c r="D286" s="291">
        <v>2027</v>
      </c>
      <c r="E286" s="292" t="s">
        <v>268</v>
      </c>
      <c r="T286" s="4">
        <v>165304</v>
      </c>
    </row>
    <row r="287" spans="1:20" ht="19">
      <c r="A287" s="182">
        <v>6508782</v>
      </c>
      <c r="B287" s="290" t="s">
        <v>775</v>
      </c>
      <c r="C287" s="292" t="s">
        <v>91</v>
      </c>
      <c r="D287" s="291">
        <v>2027</v>
      </c>
      <c r="E287" s="292" t="s">
        <v>91</v>
      </c>
      <c r="T287" s="4">
        <v>145413</v>
      </c>
    </row>
    <row r="288" spans="1:20" ht="19">
      <c r="A288" s="182">
        <v>6508776</v>
      </c>
      <c r="B288" s="290" t="s">
        <v>776</v>
      </c>
      <c r="C288" s="292" t="s">
        <v>91</v>
      </c>
      <c r="D288" s="291">
        <v>2027</v>
      </c>
      <c r="E288" s="292" t="s">
        <v>91</v>
      </c>
      <c r="T288" s="4">
        <v>155706</v>
      </c>
    </row>
    <row r="289" spans="1:20" ht="19">
      <c r="A289" s="182">
        <v>6508783</v>
      </c>
      <c r="B289" s="290" t="s">
        <v>777</v>
      </c>
      <c r="C289" s="278" t="s">
        <v>91</v>
      </c>
      <c r="D289" s="291">
        <v>2027</v>
      </c>
      <c r="E289" s="278" t="s">
        <v>91</v>
      </c>
      <c r="T289" s="4">
        <v>146007</v>
      </c>
    </row>
    <row r="290" spans="1:20" ht="19">
      <c r="A290" s="182">
        <v>6508779</v>
      </c>
      <c r="B290" s="290" t="s">
        <v>778</v>
      </c>
      <c r="C290" s="278" t="s">
        <v>91</v>
      </c>
      <c r="D290" s="291">
        <v>2027</v>
      </c>
      <c r="E290" s="278" t="s">
        <v>91</v>
      </c>
      <c r="T290" s="29">
        <v>1427704</v>
      </c>
    </row>
    <row r="291" spans="1:20" ht="19">
      <c r="A291" s="182">
        <v>6508765</v>
      </c>
      <c r="B291" s="290" t="s">
        <v>779</v>
      </c>
      <c r="C291" s="292" t="s">
        <v>268</v>
      </c>
      <c r="D291" s="291">
        <v>2027</v>
      </c>
      <c r="E291" s="292" t="s">
        <v>268</v>
      </c>
      <c r="T291" s="4">
        <v>135305</v>
      </c>
    </row>
    <row r="292" spans="1:20" ht="19">
      <c r="A292" s="182">
        <v>6508771</v>
      </c>
      <c r="B292" s="290" t="s">
        <v>780</v>
      </c>
      <c r="C292" s="292" t="s">
        <v>91</v>
      </c>
      <c r="D292" s="291">
        <v>2027</v>
      </c>
      <c r="E292" s="292" t="s">
        <v>91</v>
      </c>
      <c r="T292" s="4">
        <v>170345</v>
      </c>
    </row>
    <row r="293" spans="1:20" ht="19">
      <c r="A293" s="182">
        <v>6508780</v>
      </c>
      <c r="B293" s="290" t="s">
        <v>781</v>
      </c>
      <c r="C293" s="278" t="s">
        <v>268</v>
      </c>
      <c r="D293" s="291">
        <v>2027</v>
      </c>
      <c r="E293" s="278" t="s">
        <v>268</v>
      </c>
      <c r="T293" s="4">
        <v>180435</v>
      </c>
    </row>
    <row r="294" spans="1:20" ht="19">
      <c r="A294" s="182">
        <v>6508773</v>
      </c>
      <c r="B294" s="290" t="s">
        <v>782</v>
      </c>
      <c r="C294" s="278" t="s">
        <v>91</v>
      </c>
      <c r="D294" s="291">
        <v>2027</v>
      </c>
      <c r="E294" s="278" t="s">
        <v>91</v>
      </c>
      <c r="T294" s="4">
        <v>180324</v>
      </c>
    </row>
    <row r="295" spans="1:20" ht="19">
      <c r="A295" s="182">
        <v>6508781</v>
      </c>
      <c r="B295" s="294" t="s">
        <v>783</v>
      </c>
      <c r="C295" s="278" t="s">
        <v>268</v>
      </c>
      <c r="D295" s="291">
        <v>2027</v>
      </c>
      <c r="E295" s="278" t="s">
        <v>268</v>
      </c>
      <c r="T295" s="4">
        <v>160531</v>
      </c>
    </row>
    <row r="296" spans="1:20" ht="19">
      <c r="A296" s="182">
        <v>6508777</v>
      </c>
      <c r="B296" s="295" t="s">
        <v>784</v>
      </c>
      <c r="C296" s="278" t="s">
        <v>91</v>
      </c>
      <c r="D296" s="291">
        <v>2027</v>
      </c>
      <c r="E296" s="278" t="s">
        <v>91</v>
      </c>
      <c r="T296" s="4">
        <v>140226</v>
      </c>
    </row>
    <row r="297" spans="1:20" ht="19">
      <c r="A297" s="182">
        <v>6508767</v>
      </c>
      <c r="B297" s="290" t="s">
        <v>785</v>
      </c>
      <c r="C297" s="278" t="s">
        <v>91</v>
      </c>
      <c r="D297" s="291">
        <v>2027</v>
      </c>
      <c r="E297" s="278" t="s">
        <v>91</v>
      </c>
      <c r="T297" s="4">
        <v>170324</v>
      </c>
    </row>
    <row r="298" spans="1:20" ht="19">
      <c r="A298" s="182">
        <v>6508768</v>
      </c>
      <c r="B298" s="290" t="s">
        <v>786</v>
      </c>
      <c r="C298" s="278" t="s">
        <v>91</v>
      </c>
      <c r="D298" s="291">
        <v>2027</v>
      </c>
      <c r="E298" s="278" t="s">
        <v>91</v>
      </c>
      <c r="T298" s="4">
        <v>150531</v>
      </c>
    </row>
    <row r="299" spans="1:20" ht="19">
      <c r="A299" s="182">
        <v>6508775</v>
      </c>
      <c r="B299" s="290" t="s">
        <v>787</v>
      </c>
      <c r="C299" s="278" t="s">
        <v>91</v>
      </c>
      <c r="D299" s="291">
        <v>2027</v>
      </c>
      <c r="E299" s="278" t="s">
        <v>91</v>
      </c>
      <c r="T299" s="4">
        <v>180430</v>
      </c>
    </row>
    <row r="300" spans="1:20" ht="19">
      <c r="A300" s="182">
        <v>6508774</v>
      </c>
      <c r="B300" s="290" t="s">
        <v>788</v>
      </c>
      <c r="C300" s="181" t="s">
        <v>91</v>
      </c>
      <c r="D300" s="291">
        <v>2027</v>
      </c>
      <c r="E300" s="181" t="s">
        <v>91</v>
      </c>
      <c r="T300" s="4">
        <v>160544</v>
      </c>
    </row>
    <row r="301" spans="1:20" ht="19">
      <c r="A301" s="182">
        <v>6508770</v>
      </c>
      <c r="B301" s="290" t="s">
        <v>789</v>
      </c>
      <c r="C301" s="292" t="s">
        <v>91</v>
      </c>
      <c r="D301" s="291">
        <v>2027</v>
      </c>
      <c r="E301" s="292" t="s">
        <v>91</v>
      </c>
      <c r="T301" s="4">
        <v>160634</v>
      </c>
    </row>
    <row r="302" spans="1:20" ht="19">
      <c r="A302" s="182">
        <v>6508772</v>
      </c>
      <c r="B302" s="290" t="s">
        <v>790</v>
      </c>
      <c r="C302" s="292" t="s">
        <v>91</v>
      </c>
      <c r="D302" s="291">
        <v>2027</v>
      </c>
      <c r="E302" s="292" t="s">
        <v>91</v>
      </c>
      <c r="T302" s="4">
        <v>160532</v>
      </c>
    </row>
    <row r="303" spans="1:20" ht="19">
      <c r="A303" s="182">
        <v>6508778</v>
      </c>
      <c r="B303" s="290" t="s">
        <v>791</v>
      </c>
      <c r="C303" s="296" t="s">
        <v>91</v>
      </c>
      <c r="D303" s="291">
        <v>2027</v>
      </c>
      <c r="E303" s="296" t="s">
        <v>91</v>
      </c>
      <c r="T303" s="4">
        <v>130643</v>
      </c>
    </row>
    <row r="304" spans="1:20" ht="19">
      <c r="A304" s="182">
        <v>6508766</v>
      </c>
      <c r="B304" s="290" t="s">
        <v>792</v>
      </c>
      <c r="C304" s="292" t="s">
        <v>268</v>
      </c>
      <c r="D304" s="291">
        <v>2027</v>
      </c>
      <c r="E304" s="292" t="s">
        <v>268</v>
      </c>
      <c r="T304" s="4">
        <v>150628</v>
      </c>
    </row>
    <row r="305" spans="1:20" ht="19">
      <c r="A305" s="182">
        <v>6508769</v>
      </c>
      <c r="B305" s="290" t="s">
        <v>793</v>
      </c>
      <c r="C305" s="292" t="s">
        <v>268</v>
      </c>
      <c r="D305" s="291">
        <v>2027</v>
      </c>
      <c r="E305" s="292" t="s">
        <v>268</v>
      </c>
      <c r="T305" s="4">
        <v>120721</v>
      </c>
    </row>
    <row r="306" spans="1:20" ht="19">
      <c r="A306" s="182">
        <v>6508690</v>
      </c>
      <c r="B306" s="290" t="s">
        <v>794</v>
      </c>
      <c r="C306" s="181" t="s">
        <v>268</v>
      </c>
      <c r="D306" s="291">
        <v>2027</v>
      </c>
      <c r="E306" s="181" t="s">
        <v>268</v>
      </c>
      <c r="T306" s="4">
        <v>130648</v>
      </c>
    </row>
    <row r="307" spans="1:20" ht="19">
      <c r="A307" s="182">
        <v>6508659</v>
      </c>
      <c r="B307" s="290" t="s">
        <v>795</v>
      </c>
      <c r="C307" s="182" t="s">
        <v>91</v>
      </c>
      <c r="D307" s="291">
        <v>2027</v>
      </c>
      <c r="E307" s="182" t="s">
        <v>91</v>
      </c>
      <c r="T307" s="4">
        <v>165815</v>
      </c>
    </row>
    <row r="308" spans="1:20" ht="19">
      <c r="A308" s="182">
        <v>6508691</v>
      </c>
      <c r="B308" s="297" t="s">
        <v>796</v>
      </c>
      <c r="C308" s="278" t="s">
        <v>91</v>
      </c>
      <c r="D308" s="291">
        <v>2027</v>
      </c>
      <c r="E308" s="278" t="s">
        <v>91</v>
      </c>
      <c r="T308" s="4">
        <v>175722</v>
      </c>
    </row>
    <row r="309" spans="1:20" ht="19">
      <c r="A309" s="182">
        <v>6508681</v>
      </c>
      <c r="B309" s="297" t="s">
        <v>797</v>
      </c>
      <c r="C309" s="292" t="s">
        <v>90</v>
      </c>
      <c r="D309" s="291">
        <v>2027</v>
      </c>
      <c r="E309" s="292" t="s">
        <v>90</v>
      </c>
      <c r="T309" s="29">
        <v>989413</v>
      </c>
    </row>
    <row r="310" spans="1:20" ht="19">
      <c r="A310" s="182">
        <v>6508675</v>
      </c>
      <c r="B310" s="297" t="s">
        <v>482</v>
      </c>
      <c r="C310" s="278" t="s">
        <v>91</v>
      </c>
      <c r="D310" s="291">
        <v>2027</v>
      </c>
      <c r="E310" s="278" t="s">
        <v>91</v>
      </c>
      <c r="T310" s="4">
        <v>134809</v>
      </c>
    </row>
    <row r="311" spans="1:20" ht="19">
      <c r="A311" s="182">
        <v>6508660</v>
      </c>
      <c r="B311" s="297" t="s">
        <v>484</v>
      </c>
      <c r="C311" s="278" t="s">
        <v>91</v>
      </c>
      <c r="D311" s="291">
        <v>2027</v>
      </c>
      <c r="E311" s="278" t="s">
        <v>91</v>
      </c>
      <c r="T311" s="4">
        <v>144615</v>
      </c>
    </row>
    <row r="312" spans="1:20" ht="19">
      <c r="A312" s="182">
        <v>6508661</v>
      </c>
      <c r="B312" s="297" t="s">
        <v>486</v>
      </c>
      <c r="C312" s="292" t="s">
        <v>268</v>
      </c>
      <c r="D312" s="291">
        <v>2027</v>
      </c>
      <c r="E312" s="292" t="s">
        <v>268</v>
      </c>
      <c r="T312" s="4">
        <v>154720</v>
      </c>
    </row>
    <row r="313" spans="1:20" ht="19">
      <c r="A313" s="182">
        <v>6508678</v>
      </c>
      <c r="B313" s="297" t="s">
        <v>490</v>
      </c>
      <c r="C313" s="292" t="s">
        <v>268</v>
      </c>
      <c r="D313" s="291">
        <v>2027</v>
      </c>
      <c r="E313" s="292" t="s">
        <v>268</v>
      </c>
      <c r="T313" s="4">
        <v>154020</v>
      </c>
    </row>
    <row r="314" spans="1:20" ht="19">
      <c r="A314" s="182">
        <v>6508679</v>
      </c>
      <c r="B314" s="297" t="s">
        <v>494</v>
      </c>
      <c r="C314" s="292" t="s">
        <v>91</v>
      </c>
      <c r="D314" s="291">
        <v>2027</v>
      </c>
      <c r="E314" s="292" t="s">
        <v>91</v>
      </c>
      <c r="T314" s="4">
        <v>164120</v>
      </c>
    </row>
    <row r="315" spans="1:20" ht="19">
      <c r="A315" s="182">
        <v>6508682</v>
      </c>
      <c r="B315" s="297" t="s">
        <v>798</v>
      </c>
      <c r="C315" s="292" t="s">
        <v>91</v>
      </c>
      <c r="D315" s="291">
        <v>2027</v>
      </c>
      <c r="E315" s="292" t="s">
        <v>91</v>
      </c>
      <c r="T315" s="4">
        <v>184045</v>
      </c>
    </row>
    <row r="316" spans="1:20" ht="19">
      <c r="A316" s="182">
        <v>6508684</v>
      </c>
      <c r="B316" s="297" t="s">
        <v>247</v>
      </c>
      <c r="C316" s="292" t="s">
        <v>268</v>
      </c>
      <c r="D316" s="291">
        <v>2027</v>
      </c>
      <c r="E316" s="292" t="s">
        <v>268</v>
      </c>
      <c r="T316" s="4">
        <v>194029</v>
      </c>
    </row>
    <row r="317" spans="1:20" ht="19">
      <c r="A317" s="182">
        <v>6508689</v>
      </c>
      <c r="B317" s="297" t="s">
        <v>799</v>
      </c>
      <c r="C317" s="292" t="s">
        <v>90</v>
      </c>
      <c r="D317" s="291">
        <v>2027</v>
      </c>
      <c r="E317" s="292" t="s">
        <v>90</v>
      </c>
      <c r="T317" s="4">
        <v>144115</v>
      </c>
    </row>
    <row r="318" spans="1:20" ht="19">
      <c r="A318" s="182">
        <v>6508669</v>
      </c>
      <c r="B318" s="297" t="s">
        <v>800</v>
      </c>
      <c r="C318" s="182" t="s">
        <v>91</v>
      </c>
      <c r="D318" s="291">
        <v>2027</v>
      </c>
      <c r="E318" s="182" t="s">
        <v>91</v>
      </c>
      <c r="T318" s="4">
        <v>153932</v>
      </c>
    </row>
    <row r="319" spans="1:20" ht="19">
      <c r="A319" s="182">
        <v>6508673</v>
      </c>
      <c r="B319" s="297" t="s">
        <v>246</v>
      </c>
      <c r="C319" s="292" t="s">
        <v>91</v>
      </c>
      <c r="D319" s="291">
        <v>2027</v>
      </c>
      <c r="E319" s="292" t="s">
        <v>91</v>
      </c>
      <c r="T319" s="4">
        <v>133802</v>
      </c>
    </row>
    <row r="320" spans="1:20" ht="19">
      <c r="A320" s="182">
        <v>6508666</v>
      </c>
      <c r="B320" s="297" t="s">
        <v>801</v>
      </c>
      <c r="C320" s="278" t="s">
        <v>91</v>
      </c>
      <c r="D320" s="291">
        <v>2027</v>
      </c>
      <c r="E320" s="278" t="s">
        <v>91</v>
      </c>
      <c r="T320" s="4">
        <v>143710</v>
      </c>
    </row>
    <row r="321" spans="1:20" ht="19">
      <c r="A321" s="182">
        <v>6508668</v>
      </c>
      <c r="B321" s="297" t="s">
        <v>802</v>
      </c>
      <c r="C321" s="278" t="s">
        <v>91</v>
      </c>
      <c r="D321" s="291">
        <v>2027</v>
      </c>
      <c r="E321" s="278" t="s">
        <v>91</v>
      </c>
      <c r="T321" s="4">
        <v>173815</v>
      </c>
    </row>
    <row r="322" spans="1:20" ht="19">
      <c r="A322" s="182">
        <v>6508685</v>
      </c>
      <c r="B322" s="297" t="s">
        <v>803</v>
      </c>
      <c r="C322" s="292" t="s">
        <v>91</v>
      </c>
      <c r="D322" s="291">
        <v>2027</v>
      </c>
      <c r="E322" s="292" t="s">
        <v>91</v>
      </c>
      <c r="T322" s="4">
        <v>183718</v>
      </c>
    </row>
    <row r="323" spans="1:20" ht="19">
      <c r="A323" s="182">
        <v>6508662</v>
      </c>
      <c r="B323" s="297" t="s">
        <v>804</v>
      </c>
      <c r="C323" s="296" t="s">
        <v>91</v>
      </c>
      <c r="D323" s="291">
        <v>2027</v>
      </c>
      <c r="E323" s="296" t="s">
        <v>91</v>
      </c>
      <c r="T323" s="4">
        <v>183635</v>
      </c>
    </row>
    <row r="324" spans="1:20" ht="19">
      <c r="A324" s="182">
        <v>6508665</v>
      </c>
      <c r="B324" s="297" t="s">
        <v>805</v>
      </c>
      <c r="C324" s="181" t="s">
        <v>268</v>
      </c>
      <c r="D324" s="291">
        <v>2027</v>
      </c>
      <c r="E324" s="181" t="s">
        <v>268</v>
      </c>
      <c r="T324" s="29">
        <v>367405</v>
      </c>
    </row>
    <row r="325" spans="1:20" ht="19">
      <c r="A325" s="182">
        <v>6508663</v>
      </c>
      <c r="B325" s="297" t="s">
        <v>806</v>
      </c>
      <c r="C325" s="292" t="s">
        <v>268</v>
      </c>
      <c r="D325" s="291">
        <v>2027</v>
      </c>
      <c r="E325" s="292" t="s">
        <v>268</v>
      </c>
      <c r="T325" s="4">
        <v>195421</v>
      </c>
    </row>
    <row r="326" spans="1:20" ht="19">
      <c r="A326" s="182">
        <v>6508671</v>
      </c>
      <c r="B326" s="297" t="s">
        <v>807</v>
      </c>
      <c r="C326" s="292" t="s">
        <v>268</v>
      </c>
      <c r="D326" s="291">
        <v>2027</v>
      </c>
      <c r="E326" s="292" t="s">
        <v>268</v>
      </c>
      <c r="T326" s="4">
        <v>175937</v>
      </c>
    </row>
    <row r="327" spans="1:20" ht="19">
      <c r="A327" s="182">
        <v>6508686</v>
      </c>
      <c r="B327" s="297" t="s">
        <v>808</v>
      </c>
      <c r="C327" s="278" t="s">
        <v>91</v>
      </c>
      <c r="D327" s="291">
        <v>2027</v>
      </c>
      <c r="E327" s="278" t="s">
        <v>91</v>
      </c>
      <c r="T327" s="4">
        <v>140232</v>
      </c>
    </row>
    <row r="328" spans="1:20" ht="19">
      <c r="A328" s="182">
        <v>6508667</v>
      </c>
      <c r="B328" s="297" t="s">
        <v>809</v>
      </c>
      <c r="C328" s="181" t="s">
        <v>91</v>
      </c>
      <c r="D328" s="291">
        <v>2027</v>
      </c>
      <c r="E328" s="181" t="s">
        <v>91</v>
      </c>
      <c r="T328" s="30">
        <v>195232</v>
      </c>
    </row>
    <row r="329" spans="1:20" ht="19">
      <c r="A329" s="182">
        <v>6508683</v>
      </c>
      <c r="B329" s="297" t="s">
        <v>810</v>
      </c>
      <c r="C329" s="182" t="s">
        <v>91</v>
      </c>
      <c r="D329" s="291">
        <v>2027</v>
      </c>
      <c r="E329" s="182" t="s">
        <v>91</v>
      </c>
      <c r="T329" s="30">
        <v>165938</v>
      </c>
    </row>
    <row r="330" spans="1:20" ht="19">
      <c r="A330" s="182">
        <v>6508670</v>
      </c>
      <c r="B330" s="290" t="s">
        <v>250</v>
      </c>
      <c r="C330" s="278" t="s">
        <v>91</v>
      </c>
      <c r="D330" s="291">
        <v>2027</v>
      </c>
      <c r="E330" s="278" t="s">
        <v>91</v>
      </c>
      <c r="T330" s="30">
        <v>166027</v>
      </c>
    </row>
    <row r="331" spans="1:20" ht="19">
      <c r="A331" s="182">
        <v>6508676</v>
      </c>
      <c r="B331" s="290" t="s">
        <v>573</v>
      </c>
      <c r="C331" s="292" t="s">
        <v>90</v>
      </c>
      <c r="D331" s="291">
        <v>2027</v>
      </c>
      <c r="E331" s="292" t="s">
        <v>90</v>
      </c>
      <c r="T331" s="30">
        <v>150143</v>
      </c>
    </row>
    <row r="332" spans="1:20" ht="19">
      <c r="A332" s="182">
        <v>6508677</v>
      </c>
      <c r="B332" s="290" t="s">
        <v>497</v>
      </c>
      <c r="C332" s="278" t="s">
        <v>91</v>
      </c>
      <c r="D332" s="291">
        <v>2027</v>
      </c>
      <c r="E332" s="278" t="s">
        <v>91</v>
      </c>
      <c r="T332" s="4">
        <v>194023</v>
      </c>
    </row>
    <row r="333" spans="1:20" ht="19">
      <c r="A333" s="182">
        <v>6508672</v>
      </c>
      <c r="B333" s="290" t="s">
        <v>502</v>
      </c>
      <c r="C333" s="292" t="s">
        <v>268</v>
      </c>
      <c r="D333" s="291">
        <v>2027</v>
      </c>
      <c r="E333" s="292" t="s">
        <v>268</v>
      </c>
      <c r="T333" s="4">
        <v>181718</v>
      </c>
    </row>
    <row r="334" spans="1:20" ht="19">
      <c r="A334" s="182">
        <v>6508664</v>
      </c>
      <c r="B334" s="290" t="s">
        <v>506</v>
      </c>
      <c r="C334" s="292" t="s">
        <v>91</v>
      </c>
      <c r="D334" s="291">
        <v>2027</v>
      </c>
      <c r="E334" s="292" t="s">
        <v>91</v>
      </c>
      <c r="T334" s="4">
        <v>193901</v>
      </c>
    </row>
    <row r="335" spans="1:20" ht="19">
      <c r="A335" s="182">
        <v>6508674</v>
      </c>
      <c r="B335" s="290" t="s">
        <v>572</v>
      </c>
      <c r="C335" s="292" t="s">
        <v>91</v>
      </c>
      <c r="D335" s="291">
        <v>2027</v>
      </c>
      <c r="E335" s="292" t="s">
        <v>91</v>
      </c>
      <c r="T335" s="4">
        <v>170618</v>
      </c>
    </row>
    <row r="336" spans="1:20" ht="19">
      <c r="A336" s="182">
        <v>6508687</v>
      </c>
      <c r="B336" s="290" t="s">
        <v>811</v>
      </c>
      <c r="C336" s="292" t="s">
        <v>268</v>
      </c>
      <c r="D336" s="291">
        <v>2027</v>
      </c>
      <c r="E336" s="292" t="s">
        <v>268</v>
      </c>
      <c r="T336" s="4">
        <v>174033</v>
      </c>
    </row>
    <row r="337" spans="1:20" ht="19">
      <c r="A337" s="182">
        <v>6508688</v>
      </c>
      <c r="B337" s="290" t="s">
        <v>571</v>
      </c>
      <c r="C337" s="292" t="s">
        <v>90</v>
      </c>
      <c r="D337" s="291">
        <v>2027</v>
      </c>
      <c r="E337" s="292" t="s">
        <v>90</v>
      </c>
      <c r="T337" s="4">
        <v>155209</v>
      </c>
    </row>
    <row r="338" spans="1:20" ht="19">
      <c r="A338" s="182">
        <v>6508680</v>
      </c>
      <c r="B338" s="290" t="s">
        <v>248</v>
      </c>
      <c r="C338" s="182" t="s">
        <v>91</v>
      </c>
      <c r="D338" s="291">
        <v>2027</v>
      </c>
      <c r="E338" s="182" t="s">
        <v>91</v>
      </c>
      <c r="T338" s="4">
        <v>194024</v>
      </c>
    </row>
    <row r="339" spans="1:20" ht="19">
      <c r="A339" s="182">
        <v>6504138</v>
      </c>
      <c r="B339" s="290" t="s">
        <v>249</v>
      </c>
      <c r="C339" s="292" t="s">
        <v>91</v>
      </c>
      <c r="D339" s="291">
        <v>2027</v>
      </c>
      <c r="E339" s="292" t="s">
        <v>91</v>
      </c>
      <c r="T339" s="4">
        <v>181710</v>
      </c>
    </row>
    <row r="340" spans="1:20" ht="19">
      <c r="A340" s="182">
        <v>6506878</v>
      </c>
      <c r="B340" s="290" t="s">
        <v>812</v>
      </c>
      <c r="C340" s="278" t="s">
        <v>91</v>
      </c>
      <c r="D340" s="291">
        <v>2027</v>
      </c>
      <c r="E340" s="278" t="s">
        <v>91</v>
      </c>
      <c r="T340" s="4">
        <v>141209</v>
      </c>
    </row>
    <row r="341" spans="1:20" ht="19">
      <c r="A341" s="182">
        <v>6508923</v>
      </c>
      <c r="B341" s="290" t="s">
        <v>813</v>
      </c>
      <c r="C341" s="278" t="s">
        <v>91</v>
      </c>
      <c r="D341" s="291">
        <v>2027</v>
      </c>
      <c r="E341" s="278" t="s">
        <v>91</v>
      </c>
      <c r="T341" s="4">
        <v>183714</v>
      </c>
    </row>
    <row r="342" spans="1:20" ht="19">
      <c r="A342" s="182">
        <v>0</v>
      </c>
      <c r="B342" s="294" t="s">
        <v>814</v>
      </c>
      <c r="C342" s="296" t="s">
        <v>91</v>
      </c>
      <c r="D342" s="291">
        <v>2027</v>
      </c>
      <c r="E342" s="296" t="s">
        <v>91</v>
      </c>
      <c r="T342" s="4">
        <v>170210</v>
      </c>
    </row>
    <row r="343" spans="1:20" ht="19">
      <c r="A343" s="182">
        <v>0</v>
      </c>
      <c r="B343" s="295" t="s">
        <v>815</v>
      </c>
      <c r="C343" s="278" t="s">
        <v>91</v>
      </c>
      <c r="D343" s="291">
        <v>2027</v>
      </c>
      <c r="E343" s="278" t="s">
        <v>91</v>
      </c>
      <c r="T343" s="4">
        <v>193920</v>
      </c>
    </row>
    <row r="344" spans="1:20" ht="19">
      <c r="A344" s="182">
        <v>6500277</v>
      </c>
      <c r="B344" s="290" t="s">
        <v>816</v>
      </c>
      <c r="C344" s="278" t="s">
        <v>268</v>
      </c>
      <c r="D344" s="291">
        <v>2027</v>
      </c>
      <c r="E344" s="278" t="s">
        <v>268</v>
      </c>
      <c r="T344" s="4">
        <v>171134</v>
      </c>
    </row>
    <row r="345" spans="1:20" ht="19">
      <c r="A345" s="182">
        <v>6000709</v>
      </c>
      <c r="B345" s="290" t="s">
        <v>817</v>
      </c>
      <c r="C345" s="292" t="s">
        <v>91</v>
      </c>
      <c r="D345" s="291">
        <v>2027</v>
      </c>
      <c r="E345" s="292" t="s">
        <v>91</v>
      </c>
      <c r="T345" s="4">
        <v>184026</v>
      </c>
    </row>
    <row r="346" spans="1:20" ht="19">
      <c r="A346" s="182">
        <v>6000711</v>
      </c>
      <c r="B346" s="290" t="s">
        <v>818</v>
      </c>
      <c r="C346" s="278" t="s">
        <v>91</v>
      </c>
      <c r="D346" s="291">
        <v>2027</v>
      </c>
      <c r="E346" s="278" t="s">
        <v>91</v>
      </c>
      <c r="T346" s="4">
        <v>190417</v>
      </c>
    </row>
    <row r="347" spans="1:20" ht="19">
      <c r="A347" s="182">
        <v>6500399</v>
      </c>
      <c r="B347" s="290" t="s">
        <v>819</v>
      </c>
      <c r="C347" s="278" t="s">
        <v>268</v>
      </c>
      <c r="D347" s="291">
        <v>2027</v>
      </c>
      <c r="E347" s="278" t="s">
        <v>268</v>
      </c>
      <c r="T347" s="4">
        <v>151116</v>
      </c>
    </row>
    <row r="348" spans="1:20" ht="19">
      <c r="A348" s="182">
        <v>6500542</v>
      </c>
      <c r="B348" s="297" t="s">
        <v>371</v>
      </c>
      <c r="C348" s="278" t="s">
        <v>91</v>
      </c>
      <c r="D348" s="291">
        <v>2027</v>
      </c>
      <c r="E348" s="278" t="s">
        <v>91</v>
      </c>
      <c r="T348" s="4">
        <v>171417</v>
      </c>
    </row>
    <row r="349" spans="1:20" ht="19">
      <c r="A349" s="182">
        <v>6504457</v>
      </c>
      <c r="B349" s="297" t="s">
        <v>380</v>
      </c>
      <c r="C349" s="292" t="s">
        <v>91</v>
      </c>
      <c r="D349" s="291">
        <v>2027</v>
      </c>
      <c r="E349" s="292" t="s">
        <v>91</v>
      </c>
      <c r="T349" s="4">
        <v>151147</v>
      </c>
    </row>
    <row r="350" spans="1:20" ht="19">
      <c r="A350" s="182">
        <v>6503302</v>
      </c>
      <c r="B350" s="297" t="s">
        <v>382</v>
      </c>
      <c r="C350" s="296" t="s">
        <v>91</v>
      </c>
      <c r="D350" s="291">
        <v>2027</v>
      </c>
      <c r="E350" s="296" t="s">
        <v>91</v>
      </c>
      <c r="T350" s="4">
        <v>171818</v>
      </c>
    </row>
    <row r="351" spans="1:20" ht="19">
      <c r="A351" s="182">
        <v>6505018</v>
      </c>
      <c r="B351" s="297" t="s">
        <v>564</v>
      </c>
      <c r="C351" s="292" t="s">
        <v>91</v>
      </c>
      <c r="D351" s="291">
        <v>2027</v>
      </c>
      <c r="E351" s="292" t="s">
        <v>91</v>
      </c>
      <c r="T351" s="27">
        <v>194526</v>
      </c>
    </row>
    <row r="352" spans="1:20" ht="19">
      <c r="A352" s="182">
        <v>6504117</v>
      </c>
      <c r="B352" s="297" t="s">
        <v>565</v>
      </c>
      <c r="C352" s="298" t="s">
        <v>90</v>
      </c>
      <c r="D352" s="291">
        <v>2027</v>
      </c>
      <c r="E352" s="298" t="s">
        <v>90</v>
      </c>
      <c r="T352" s="27">
        <v>144101</v>
      </c>
    </row>
    <row r="353" spans="1:20" ht="19">
      <c r="A353" s="182">
        <v>6505019</v>
      </c>
      <c r="B353" s="297" t="s">
        <v>386</v>
      </c>
      <c r="C353" s="182" t="s">
        <v>91</v>
      </c>
      <c r="D353" s="291">
        <v>2027</v>
      </c>
      <c r="E353" s="182" t="s">
        <v>91</v>
      </c>
      <c r="T353" s="27">
        <v>151046</v>
      </c>
    </row>
    <row r="354" spans="1:20" ht="19">
      <c r="A354" s="182">
        <v>6505020</v>
      </c>
      <c r="B354" s="297" t="s">
        <v>388</v>
      </c>
      <c r="C354" s="292" t="s">
        <v>91</v>
      </c>
      <c r="D354" s="291">
        <v>2027</v>
      </c>
      <c r="E354" s="292" t="s">
        <v>91</v>
      </c>
      <c r="T354" s="4">
        <v>181562</v>
      </c>
    </row>
    <row r="355" spans="1:20" ht="19">
      <c r="A355" s="182">
        <v>6505053</v>
      </c>
      <c r="B355" s="297" t="s">
        <v>820</v>
      </c>
      <c r="C355" s="278" t="s">
        <v>91</v>
      </c>
      <c r="D355" s="291">
        <v>2027</v>
      </c>
      <c r="E355" s="278" t="s">
        <v>91</v>
      </c>
      <c r="T355" s="4">
        <v>154105</v>
      </c>
    </row>
    <row r="356" spans="1:20" ht="19">
      <c r="A356" s="182">
        <v>0</v>
      </c>
      <c r="B356" s="297" t="s">
        <v>821</v>
      </c>
      <c r="C356" s="278" t="s">
        <v>91</v>
      </c>
      <c r="D356" s="291">
        <v>2027</v>
      </c>
      <c r="E356" s="278" t="s">
        <v>91</v>
      </c>
      <c r="T356" s="4">
        <v>194826</v>
      </c>
    </row>
    <row r="357" spans="1:20" ht="19">
      <c r="A357" s="182">
        <v>0</v>
      </c>
      <c r="B357" s="297" t="s">
        <v>822</v>
      </c>
      <c r="C357" s="292" t="s">
        <v>91</v>
      </c>
      <c r="D357" s="291">
        <v>2027</v>
      </c>
      <c r="E357" s="292" t="s">
        <v>91</v>
      </c>
      <c r="T357" s="4">
        <v>181664</v>
      </c>
    </row>
    <row r="358" spans="1:20" ht="19">
      <c r="A358" s="182">
        <v>0</v>
      </c>
      <c r="B358" s="299" t="s">
        <v>823</v>
      </c>
      <c r="C358" s="296" t="s">
        <v>91</v>
      </c>
      <c r="D358" s="291">
        <v>2027</v>
      </c>
      <c r="E358" s="296" t="s">
        <v>91</v>
      </c>
      <c r="T358" s="4">
        <v>191930</v>
      </c>
    </row>
    <row r="359" spans="1:20" ht="19">
      <c r="A359" s="182">
        <v>0</v>
      </c>
      <c r="B359" s="300" t="s">
        <v>824</v>
      </c>
      <c r="C359" s="278" t="s">
        <v>91</v>
      </c>
      <c r="D359" s="291">
        <v>2027</v>
      </c>
      <c r="E359" s="278" t="s">
        <v>91</v>
      </c>
      <c r="T359" s="4">
        <v>161334</v>
      </c>
    </row>
    <row r="360" spans="1:20" ht="19">
      <c r="A360" s="182">
        <v>0</v>
      </c>
      <c r="B360" s="297" t="s">
        <v>825</v>
      </c>
      <c r="C360" s="292" t="s">
        <v>91</v>
      </c>
      <c r="D360" s="291">
        <v>2027</v>
      </c>
      <c r="E360" s="292" t="s">
        <v>91</v>
      </c>
      <c r="T360" s="4">
        <v>164719</v>
      </c>
    </row>
    <row r="361" spans="1:20" ht="19">
      <c r="A361" s="182">
        <v>6504748</v>
      </c>
      <c r="B361" s="297" t="s">
        <v>826</v>
      </c>
      <c r="C361" s="278" t="s">
        <v>91</v>
      </c>
      <c r="D361" s="291">
        <v>2027</v>
      </c>
      <c r="E361" s="278" t="s">
        <v>91</v>
      </c>
      <c r="T361" s="4">
        <v>194025</v>
      </c>
    </row>
    <row r="362" spans="1:20" ht="19">
      <c r="A362" s="182">
        <v>6506525</v>
      </c>
      <c r="B362" s="297" t="s">
        <v>827</v>
      </c>
      <c r="C362" s="278" t="s">
        <v>268</v>
      </c>
      <c r="D362" s="291">
        <v>2027</v>
      </c>
      <c r="E362" s="278" t="s">
        <v>268</v>
      </c>
      <c r="T362" s="4">
        <v>180201</v>
      </c>
    </row>
    <row r="363" spans="1:20" ht="19">
      <c r="A363" s="182">
        <v>0</v>
      </c>
      <c r="B363" s="290" t="s">
        <v>828</v>
      </c>
      <c r="C363" s="292" t="s">
        <v>90</v>
      </c>
      <c r="D363" s="291">
        <v>2027</v>
      </c>
      <c r="E363" s="292" t="s">
        <v>90</v>
      </c>
      <c r="T363" s="4">
        <v>183920</v>
      </c>
    </row>
    <row r="364" spans="1:20" ht="19">
      <c r="A364" s="182">
        <v>0</v>
      </c>
      <c r="B364" s="290" t="s">
        <v>829</v>
      </c>
      <c r="C364" s="292" t="s">
        <v>90</v>
      </c>
      <c r="D364" s="291">
        <v>2027</v>
      </c>
      <c r="E364" s="292" t="s">
        <v>90</v>
      </c>
      <c r="T364" s="4">
        <v>151516</v>
      </c>
    </row>
    <row r="365" spans="1:20" ht="19">
      <c r="A365" s="182">
        <v>0</v>
      </c>
      <c r="B365" s="290" t="s">
        <v>830</v>
      </c>
      <c r="C365" s="292" t="s">
        <v>268</v>
      </c>
      <c r="D365" s="291">
        <v>2027</v>
      </c>
      <c r="E365" s="292" t="s">
        <v>268</v>
      </c>
      <c r="T365" s="4">
        <v>173615</v>
      </c>
    </row>
    <row r="366" spans="1:20" ht="19">
      <c r="A366" s="182">
        <v>0</v>
      </c>
      <c r="B366" s="297" t="s">
        <v>555</v>
      </c>
      <c r="C366" s="298" t="s">
        <v>90</v>
      </c>
      <c r="D366" s="291">
        <v>2027</v>
      </c>
      <c r="E366" s="298" t="s">
        <v>90</v>
      </c>
      <c r="T366" s="4">
        <v>181652</v>
      </c>
    </row>
    <row r="367" spans="1:20" ht="19">
      <c r="A367" s="182">
        <v>0</v>
      </c>
      <c r="B367" s="290" t="s">
        <v>578</v>
      </c>
      <c r="C367" s="298" t="s">
        <v>90</v>
      </c>
      <c r="D367" s="291">
        <v>2027</v>
      </c>
      <c r="E367" s="298" t="s">
        <v>90</v>
      </c>
      <c r="T367" s="4">
        <v>182143</v>
      </c>
    </row>
    <row r="368" spans="1:20" ht="19">
      <c r="A368" s="182">
        <v>6500566</v>
      </c>
      <c r="B368" s="297" t="s">
        <v>831</v>
      </c>
      <c r="C368" s="298" t="s">
        <v>90</v>
      </c>
      <c r="D368" s="291">
        <v>2027</v>
      </c>
      <c r="E368" s="298" t="s">
        <v>90</v>
      </c>
      <c r="T368" s="4">
        <v>154046</v>
      </c>
    </row>
    <row r="369" spans="1:20" ht="19">
      <c r="A369" s="182">
        <v>6500563</v>
      </c>
      <c r="B369" s="290" t="s">
        <v>832</v>
      </c>
      <c r="C369" s="292" t="s">
        <v>90</v>
      </c>
      <c r="D369" s="291">
        <v>2027</v>
      </c>
      <c r="E369" s="292" t="s">
        <v>90</v>
      </c>
      <c r="T369" s="4">
        <v>191627</v>
      </c>
    </row>
    <row r="370" spans="1:20" ht="19">
      <c r="A370" s="182">
        <v>6503478</v>
      </c>
      <c r="B370" s="290" t="s">
        <v>833</v>
      </c>
      <c r="C370" s="278" t="s">
        <v>91</v>
      </c>
      <c r="D370" s="291">
        <v>2027</v>
      </c>
      <c r="E370" s="278" t="s">
        <v>91</v>
      </c>
      <c r="T370" s="4">
        <v>171319</v>
      </c>
    </row>
    <row r="371" spans="1:20" ht="19">
      <c r="A371" s="182">
        <v>6509049</v>
      </c>
      <c r="B371" s="290" t="s">
        <v>834</v>
      </c>
      <c r="C371" s="292" t="s">
        <v>268</v>
      </c>
      <c r="D371" s="291">
        <v>2027</v>
      </c>
      <c r="E371" s="292" t="s">
        <v>268</v>
      </c>
      <c r="T371" s="31">
        <v>193730</v>
      </c>
    </row>
    <row r="372" spans="1:20" ht="19">
      <c r="A372" s="182">
        <v>6509050</v>
      </c>
      <c r="B372" s="290" t="s">
        <v>835</v>
      </c>
      <c r="C372" s="278" t="s">
        <v>91</v>
      </c>
      <c r="D372" s="291">
        <v>2027</v>
      </c>
      <c r="E372" s="278" t="s">
        <v>91</v>
      </c>
      <c r="T372" s="31">
        <v>110602</v>
      </c>
    </row>
    <row r="373" spans="1:20" ht="19">
      <c r="A373" s="182">
        <v>6508926</v>
      </c>
      <c r="B373" s="290" t="s">
        <v>836</v>
      </c>
      <c r="C373" s="278" t="s">
        <v>91</v>
      </c>
      <c r="D373" s="291">
        <v>2027</v>
      </c>
      <c r="E373" s="278" t="s">
        <v>91</v>
      </c>
      <c r="T373" s="31">
        <v>110601</v>
      </c>
    </row>
    <row r="374" spans="1:20" ht="19">
      <c r="A374" s="182">
        <v>6509088</v>
      </c>
      <c r="B374" s="290" t="s">
        <v>837</v>
      </c>
      <c r="C374" s="296" t="s">
        <v>91</v>
      </c>
      <c r="D374" s="291">
        <v>2027</v>
      </c>
      <c r="E374" s="296" t="s">
        <v>91</v>
      </c>
      <c r="T374" s="31">
        <v>114201</v>
      </c>
    </row>
    <row r="375" spans="1:20" ht="19">
      <c r="A375" s="182">
        <v>0</v>
      </c>
      <c r="B375" s="290" t="s">
        <v>838</v>
      </c>
      <c r="C375" s="278" t="s">
        <v>91</v>
      </c>
      <c r="D375" s="291">
        <v>2027</v>
      </c>
      <c r="E375" s="278" t="s">
        <v>91</v>
      </c>
      <c r="T375" s="31">
        <v>110604</v>
      </c>
    </row>
    <row r="376" spans="1:20" ht="19">
      <c r="A376" s="182">
        <v>0</v>
      </c>
      <c r="B376" s="290" t="s">
        <v>839</v>
      </c>
      <c r="C376" s="182" t="s">
        <v>91</v>
      </c>
      <c r="D376" s="291">
        <v>2027</v>
      </c>
      <c r="E376" s="182" t="s">
        <v>91</v>
      </c>
      <c r="T376" s="31">
        <v>114300</v>
      </c>
    </row>
    <row r="377" spans="1:20" ht="19">
      <c r="A377" s="182">
        <v>6504916</v>
      </c>
      <c r="B377" s="290" t="s">
        <v>840</v>
      </c>
      <c r="C377" s="278" t="s">
        <v>91</v>
      </c>
      <c r="D377" s="291">
        <v>2027</v>
      </c>
      <c r="E377" s="278" t="s">
        <v>91</v>
      </c>
      <c r="T377" s="31">
        <v>110606</v>
      </c>
    </row>
    <row r="378" spans="1:20" ht="19">
      <c r="A378" s="182">
        <v>6505599</v>
      </c>
      <c r="B378" s="290" t="s">
        <v>841</v>
      </c>
      <c r="C378" s="292" t="s">
        <v>268</v>
      </c>
      <c r="D378" s="291">
        <v>2027</v>
      </c>
      <c r="E378" s="292" t="s">
        <v>268</v>
      </c>
      <c r="T378" s="31">
        <v>110701</v>
      </c>
    </row>
    <row r="379" spans="1:20" ht="19">
      <c r="A379" s="182">
        <v>6504917</v>
      </c>
      <c r="B379" s="297" t="s">
        <v>842</v>
      </c>
      <c r="C379" s="278" t="s">
        <v>91</v>
      </c>
      <c r="D379" s="291">
        <v>2027</v>
      </c>
      <c r="E379" s="278" t="s">
        <v>91</v>
      </c>
      <c r="T379" s="31">
        <v>120104</v>
      </c>
    </row>
    <row r="380" spans="1:20" ht="19">
      <c r="A380" s="182">
        <v>6507527</v>
      </c>
      <c r="B380" s="297" t="s">
        <v>561</v>
      </c>
      <c r="C380" s="278" t="s">
        <v>91</v>
      </c>
      <c r="D380" s="291">
        <v>2027</v>
      </c>
      <c r="E380" s="278" t="s">
        <v>91</v>
      </c>
      <c r="T380" s="31">
        <v>130905</v>
      </c>
    </row>
    <row r="381" spans="1:20" ht="19">
      <c r="A381" s="182">
        <v>6508790</v>
      </c>
      <c r="B381" s="297" t="s">
        <v>843</v>
      </c>
      <c r="C381" s="296" t="s">
        <v>91</v>
      </c>
      <c r="D381" s="291">
        <v>2027</v>
      </c>
      <c r="E381" s="296" t="s">
        <v>91</v>
      </c>
      <c r="T381" s="31">
        <v>125202</v>
      </c>
    </row>
    <row r="382" spans="1:20" ht="19">
      <c r="A382" s="182">
        <v>6508784</v>
      </c>
      <c r="B382" s="297" t="s">
        <v>844</v>
      </c>
      <c r="C382" s="292" t="s">
        <v>268</v>
      </c>
      <c r="D382" s="291">
        <v>2027</v>
      </c>
      <c r="E382" s="292" t="s">
        <v>268</v>
      </c>
      <c r="T382" s="31">
        <v>134403</v>
      </c>
    </row>
    <row r="383" spans="1:20" ht="19">
      <c r="A383" s="182">
        <v>6507513</v>
      </c>
      <c r="B383" s="297" t="s">
        <v>845</v>
      </c>
      <c r="C383" s="292" t="s">
        <v>91</v>
      </c>
      <c r="D383" s="291">
        <v>2027</v>
      </c>
      <c r="E383" s="292" t="s">
        <v>91</v>
      </c>
      <c r="T383" s="31">
        <v>110104</v>
      </c>
    </row>
    <row r="384" spans="1:20" ht="19">
      <c r="A384" s="182">
        <v>6508793</v>
      </c>
      <c r="B384" s="297" t="s">
        <v>846</v>
      </c>
      <c r="C384" s="278" t="s">
        <v>91</v>
      </c>
      <c r="D384" s="291">
        <v>2027</v>
      </c>
      <c r="E384" s="278" t="s">
        <v>91</v>
      </c>
      <c r="T384" s="31">
        <v>110107</v>
      </c>
    </row>
    <row r="385" spans="1:20" ht="19">
      <c r="A385" s="182">
        <v>6508794</v>
      </c>
      <c r="B385" s="290" t="s">
        <v>562</v>
      </c>
      <c r="C385" s="292" t="s">
        <v>91</v>
      </c>
      <c r="D385" s="291">
        <v>2027</v>
      </c>
      <c r="E385" s="292" t="s">
        <v>91</v>
      </c>
      <c r="T385" s="31">
        <v>110105</v>
      </c>
    </row>
    <row r="386" spans="1:20" ht="19">
      <c r="A386" s="182">
        <v>6506841</v>
      </c>
      <c r="B386" s="290" t="s">
        <v>847</v>
      </c>
      <c r="C386" s="296" t="s">
        <v>91</v>
      </c>
      <c r="D386" s="291">
        <v>2027</v>
      </c>
      <c r="E386" s="296" t="s">
        <v>91</v>
      </c>
      <c r="T386" s="31">
        <v>110507</v>
      </c>
    </row>
    <row r="387" spans="1:20" ht="19">
      <c r="A387" s="182">
        <v>6508797</v>
      </c>
      <c r="B387" s="290" t="s">
        <v>848</v>
      </c>
      <c r="C387" s="278" t="s">
        <v>91</v>
      </c>
      <c r="D387" s="291">
        <v>2027</v>
      </c>
      <c r="E387" s="278" t="s">
        <v>91</v>
      </c>
      <c r="T387" s="31">
        <v>120804</v>
      </c>
    </row>
    <row r="388" spans="1:20" ht="19">
      <c r="A388" s="182">
        <v>6506842</v>
      </c>
      <c r="B388" s="290" t="s">
        <v>563</v>
      </c>
      <c r="C388" s="292" t="s">
        <v>91</v>
      </c>
      <c r="D388" s="291">
        <v>2027</v>
      </c>
      <c r="E388" s="292" t="s">
        <v>91</v>
      </c>
      <c r="T388" s="31">
        <v>120605</v>
      </c>
    </row>
    <row r="389" spans="1:20" ht="19">
      <c r="A389" s="182">
        <v>6507518</v>
      </c>
      <c r="B389" s="290" t="s">
        <v>849</v>
      </c>
      <c r="C389" s="278" t="s">
        <v>268</v>
      </c>
      <c r="D389" s="291">
        <v>2027</v>
      </c>
      <c r="E389" s="278" t="s">
        <v>268</v>
      </c>
      <c r="T389" s="31">
        <v>120703</v>
      </c>
    </row>
    <row r="390" spans="1:20" ht="19">
      <c r="A390" s="182">
        <v>6508789</v>
      </c>
      <c r="B390" s="290" t="s">
        <v>850</v>
      </c>
      <c r="C390" s="278" t="s">
        <v>91</v>
      </c>
      <c r="D390" s="291">
        <v>2027</v>
      </c>
      <c r="E390" s="278" t="s">
        <v>91</v>
      </c>
      <c r="T390" s="31">
        <v>121106</v>
      </c>
    </row>
    <row r="391" spans="1:20" ht="19">
      <c r="A391" s="182">
        <v>6506838</v>
      </c>
      <c r="B391" s="290" t="s">
        <v>851</v>
      </c>
      <c r="C391" s="292" t="s">
        <v>268</v>
      </c>
      <c r="D391" s="291">
        <v>2027</v>
      </c>
      <c r="E391" s="292" t="s">
        <v>268</v>
      </c>
      <c r="T391" s="31">
        <v>121108</v>
      </c>
    </row>
    <row r="392" spans="1:20" ht="19">
      <c r="A392" s="182">
        <v>6508795</v>
      </c>
      <c r="B392" s="297" t="s">
        <v>852</v>
      </c>
      <c r="C392" s="278" t="s">
        <v>91</v>
      </c>
      <c r="D392" s="291">
        <v>2027</v>
      </c>
      <c r="E392" s="278" t="s">
        <v>91</v>
      </c>
      <c r="T392" s="31">
        <v>111404</v>
      </c>
    </row>
    <row r="393" spans="1:20" ht="19">
      <c r="A393" s="182">
        <v>6508798</v>
      </c>
      <c r="B393" s="297" t="s">
        <v>853</v>
      </c>
      <c r="C393" s="278" t="s">
        <v>91</v>
      </c>
      <c r="D393" s="291">
        <v>2027</v>
      </c>
      <c r="E393" s="278" t="s">
        <v>91</v>
      </c>
      <c r="T393" s="31">
        <v>110907</v>
      </c>
    </row>
    <row r="394" spans="1:20" ht="19">
      <c r="A394" s="182">
        <v>6508786</v>
      </c>
      <c r="B394" s="297" t="s">
        <v>854</v>
      </c>
      <c r="C394" s="278" t="s">
        <v>91</v>
      </c>
      <c r="D394" s="291">
        <v>2027</v>
      </c>
      <c r="E394" s="278" t="s">
        <v>91</v>
      </c>
      <c r="T394" s="31">
        <v>120704</v>
      </c>
    </row>
    <row r="395" spans="1:20" ht="19">
      <c r="A395" s="182">
        <v>6507515</v>
      </c>
      <c r="B395" s="297" t="s">
        <v>855</v>
      </c>
      <c r="C395" s="278" t="s">
        <v>91</v>
      </c>
      <c r="D395" s="291">
        <v>2027</v>
      </c>
      <c r="E395" s="278" t="s">
        <v>91</v>
      </c>
      <c r="T395" s="31">
        <v>110809</v>
      </c>
    </row>
    <row r="396" spans="1:20" ht="19">
      <c r="A396" s="182">
        <v>6508785</v>
      </c>
      <c r="B396" s="297" t="s">
        <v>856</v>
      </c>
      <c r="C396" s="278" t="s">
        <v>91</v>
      </c>
      <c r="D396" s="291">
        <v>2027</v>
      </c>
      <c r="E396" s="278" t="s">
        <v>91</v>
      </c>
      <c r="T396" s="31">
        <v>120710</v>
      </c>
    </row>
    <row r="397" spans="1:20" ht="19">
      <c r="A397" s="182">
        <v>6508800</v>
      </c>
      <c r="B397" s="297" t="s">
        <v>857</v>
      </c>
      <c r="C397" s="278" t="s">
        <v>91</v>
      </c>
      <c r="D397" s="291">
        <v>2027</v>
      </c>
      <c r="E397" s="278" t="s">
        <v>91</v>
      </c>
      <c r="T397" s="31">
        <v>112409</v>
      </c>
    </row>
    <row r="398" spans="1:20" ht="19">
      <c r="A398" s="182">
        <v>6508799</v>
      </c>
      <c r="B398" s="297" t="s">
        <v>858</v>
      </c>
      <c r="C398" s="278" t="s">
        <v>91</v>
      </c>
      <c r="D398" s="291">
        <v>2027</v>
      </c>
      <c r="E398" s="278" t="s">
        <v>91</v>
      </c>
      <c r="T398" s="31">
        <v>112309</v>
      </c>
    </row>
    <row r="399" spans="1:20" ht="19">
      <c r="A399" s="182">
        <v>6507517</v>
      </c>
      <c r="B399" s="290" t="s">
        <v>574</v>
      </c>
      <c r="C399" s="278" t="s">
        <v>268</v>
      </c>
      <c r="D399" s="291">
        <v>2027</v>
      </c>
      <c r="E399" s="278" t="s">
        <v>268</v>
      </c>
      <c r="T399" s="31">
        <v>111005</v>
      </c>
    </row>
    <row r="400" spans="1:20" ht="19">
      <c r="A400" s="182">
        <v>6508796</v>
      </c>
      <c r="B400" s="290" t="s">
        <v>859</v>
      </c>
      <c r="C400" s="278" t="s">
        <v>268</v>
      </c>
      <c r="D400" s="291">
        <v>2027</v>
      </c>
      <c r="E400" s="278" t="s">
        <v>268</v>
      </c>
      <c r="T400" s="31">
        <v>111306</v>
      </c>
    </row>
    <row r="401" spans="1:20" ht="19">
      <c r="A401" s="182">
        <v>6508787</v>
      </c>
      <c r="B401" s="290" t="s">
        <v>860</v>
      </c>
      <c r="C401" s="278" t="s">
        <v>91</v>
      </c>
      <c r="D401" s="291">
        <v>2027</v>
      </c>
      <c r="E401" s="278" t="s">
        <v>91</v>
      </c>
      <c r="T401" s="31">
        <v>111305</v>
      </c>
    </row>
    <row r="402" spans="1:20" ht="19">
      <c r="A402" s="182">
        <v>6508791</v>
      </c>
      <c r="B402" s="290" t="s">
        <v>451</v>
      </c>
      <c r="C402" s="278" t="s">
        <v>268</v>
      </c>
      <c r="D402" s="291">
        <v>2027</v>
      </c>
      <c r="E402" s="278" t="s">
        <v>268</v>
      </c>
      <c r="T402" s="31">
        <v>110603</v>
      </c>
    </row>
    <row r="403" spans="1:20" ht="19">
      <c r="A403" s="182">
        <v>6508792</v>
      </c>
      <c r="B403" s="290" t="s">
        <v>449</v>
      </c>
      <c r="C403" s="278" t="s">
        <v>268</v>
      </c>
      <c r="D403" s="291">
        <v>2027</v>
      </c>
      <c r="E403" s="278" t="s">
        <v>268</v>
      </c>
      <c r="T403" s="31">
        <v>180521</v>
      </c>
    </row>
    <row r="404" spans="1:20" ht="19">
      <c r="A404" s="182">
        <v>6508788</v>
      </c>
      <c r="B404" s="290" t="s">
        <v>861</v>
      </c>
      <c r="C404" s="181" t="s">
        <v>90</v>
      </c>
      <c r="D404" s="291">
        <v>2027</v>
      </c>
      <c r="E404" s="181" t="s">
        <v>90</v>
      </c>
      <c r="T404" s="31">
        <v>180515</v>
      </c>
    </row>
    <row r="405" spans="1:20" ht="19">
      <c r="A405" s="182">
        <v>6509043</v>
      </c>
      <c r="B405" s="290" t="s">
        <v>453</v>
      </c>
      <c r="C405" s="292" t="s">
        <v>91</v>
      </c>
      <c r="D405" s="291">
        <v>2027</v>
      </c>
      <c r="E405" s="292" t="s">
        <v>91</v>
      </c>
      <c r="T405" s="31">
        <v>190512</v>
      </c>
    </row>
    <row r="406" spans="1:20" ht="19">
      <c r="A406" s="182">
        <v>6509044</v>
      </c>
      <c r="B406" s="290" t="s">
        <v>455</v>
      </c>
      <c r="C406" s="278" t="s">
        <v>91</v>
      </c>
      <c r="D406" s="291">
        <v>2027</v>
      </c>
      <c r="E406" s="278" t="s">
        <v>91</v>
      </c>
      <c r="T406" s="31">
        <v>171019</v>
      </c>
    </row>
    <row r="407" spans="1:20" ht="19">
      <c r="A407" s="182">
        <v>6509045</v>
      </c>
      <c r="B407" s="290" t="s">
        <v>459</v>
      </c>
      <c r="C407" s="278" t="s">
        <v>91</v>
      </c>
      <c r="D407" s="291">
        <v>2027</v>
      </c>
      <c r="E407" s="278" t="s">
        <v>91</v>
      </c>
      <c r="T407" s="31">
        <v>180724</v>
      </c>
    </row>
    <row r="408" spans="1:20" ht="19">
      <c r="A408" s="182">
        <v>6507370</v>
      </c>
      <c r="B408" s="290" t="s">
        <v>461</v>
      </c>
      <c r="C408" s="292" t="s">
        <v>91</v>
      </c>
      <c r="D408" s="291">
        <v>2027</v>
      </c>
      <c r="E408" s="292" t="s">
        <v>91</v>
      </c>
      <c r="T408" s="31">
        <v>180830</v>
      </c>
    </row>
    <row r="409" spans="1:20" ht="19">
      <c r="A409" s="182">
        <v>6507883</v>
      </c>
      <c r="B409" s="290" t="s">
        <v>862</v>
      </c>
      <c r="C409" s="296" t="s">
        <v>91</v>
      </c>
      <c r="D409" s="291">
        <v>2027</v>
      </c>
      <c r="E409" s="296" t="s">
        <v>91</v>
      </c>
      <c r="T409" s="31">
        <v>160526</v>
      </c>
    </row>
    <row r="410" spans="1:20" ht="19">
      <c r="A410" s="182">
        <v>6506877</v>
      </c>
      <c r="B410" s="290" t="s">
        <v>863</v>
      </c>
      <c r="C410" s="298" t="s">
        <v>90</v>
      </c>
      <c r="D410" s="291">
        <v>2027</v>
      </c>
      <c r="E410" s="298" t="s">
        <v>90</v>
      </c>
      <c r="T410" s="31">
        <v>170625</v>
      </c>
    </row>
    <row r="411" spans="1:20" ht="19">
      <c r="A411" s="182">
        <v>6508222</v>
      </c>
      <c r="B411" s="290" t="s">
        <v>457</v>
      </c>
      <c r="C411" s="292" t="s">
        <v>90</v>
      </c>
      <c r="D411" s="291">
        <v>2027</v>
      </c>
      <c r="E411" s="292" t="s">
        <v>90</v>
      </c>
      <c r="T411" s="31">
        <v>170627</v>
      </c>
    </row>
    <row r="412" spans="1:20" ht="19">
      <c r="A412" s="182">
        <v>6505944</v>
      </c>
      <c r="B412" s="290" t="s">
        <v>864</v>
      </c>
      <c r="C412" s="292" t="s">
        <v>91</v>
      </c>
      <c r="D412" s="291">
        <v>2027</v>
      </c>
      <c r="E412" s="292" t="s">
        <v>91</v>
      </c>
      <c r="T412" s="31">
        <v>180527</v>
      </c>
    </row>
    <row r="413" spans="1:20" ht="19">
      <c r="A413" s="182">
        <v>6506190</v>
      </c>
      <c r="B413" s="297" t="s">
        <v>865</v>
      </c>
      <c r="C413" s="292" t="s">
        <v>90</v>
      </c>
      <c r="D413" s="291">
        <v>2027</v>
      </c>
      <c r="E413" s="292" t="s">
        <v>90</v>
      </c>
      <c r="T413" s="31">
        <v>180629</v>
      </c>
    </row>
    <row r="414" spans="1:20" ht="19">
      <c r="A414" s="182">
        <v>6504975</v>
      </c>
      <c r="B414" s="297" t="s">
        <v>866</v>
      </c>
      <c r="C414" s="292" t="s">
        <v>91</v>
      </c>
      <c r="D414" s="291">
        <v>2027</v>
      </c>
      <c r="E414" s="292" t="s">
        <v>91</v>
      </c>
      <c r="T414" s="31">
        <v>160213</v>
      </c>
    </row>
    <row r="415" spans="1:20" ht="19">
      <c r="A415" s="182">
        <v>6505133</v>
      </c>
      <c r="B415" s="297" t="s">
        <v>867</v>
      </c>
      <c r="C415" s="298" t="s">
        <v>90</v>
      </c>
      <c r="D415" s="291">
        <v>2027</v>
      </c>
      <c r="E415" s="298" t="s">
        <v>90</v>
      </c>
      <c r="T415" s="31">
        <v>170510</v>
      </c>
    </row>
    <row r="416" spans="1:20" ht="19">
      <c r="A416" s="182">
        <v>6505135</v>
      </c>
      <c r="B416" s="297" t="s">
        <v>868</v>
      </c>
      <c r="C416" s="296" t="s">
        <v>91</v>
      </c>
      <c r="D416" s="291">
        <v>2027</v>
      </c>
      <c r="E416" s="296" t="s">
        <v>91</v>
      </c>
      <c r="T416" s="31">
        <v>160713</v>
      </c>
    </row>
    <row r="417" spans="1:20" ht="19">
      <c r="A417" s="182">
        <v>6505893</v>
      </c>
      <c r="B417" s="297" t="s">
        <v>869</v>
      </c>
      <c r="C417" s="278" t="s">
        <v>91</v>
      </c>
      <c r="D417" s="291">
        <v>2027</v>
      </c>
      <c r="E417" s="278" t="s">
        <v>91</v>
      </c>
      <c r="T417" s="31">
        <v>170525</v>
      </c>
    </row>
    <row r="418" spans="1:20" ht="19">
      <c r="A418" s="182">
        <v>6504947</v>
      </c>
      <c r="B418" s="297" t="s">
        <v>870</v>
      </c>
      <c r="C418" s="182" t="s">
        <v>91</v>
      </c>
      <c r="D418" s="291">
        <v>2027</v>
      </c>
      <c r="E418" s="182" t="s">
        <v>91</v>
      </c>
      <c r="T418" s="31">
        <v>170620</v>
      </c>
    </row>
    <row r="419" spans="1:20" ht="19">
      <c r="A419" s="182">
        <v>6504333</v>
      </c>
      <c r="B419" s="297" t="s">
        <v>871</v>
      </c>
      <c r="C419" s="292" t="s">
        <v>268</v>
      </c>
      <c r="D419" s="291">
        <v>2027</v>
      </c>
      <c r="E419" s="292" t="s">
        <v>268</v>
      </c>
      <c r="T419" s="31">
        <v>180622</v>
      </c>
    </row>
    <row r="420" spans="1:20" ht="19">
      <c r="A420" s="182">
        <v>6503711</v>
      </c>
      <c r="B420" s="297" t="s">
        <v>872</v>
      </c>
      <c r="C420" s="292" t="s">
        <v>268</v>
      </c>
      <c r="D420" s="291">
        <v>2027</v>
      </c>
      <c r="E420" s="292" t="s">
        <v>268</v>
      </c>
      <c r="T420" s="31">
        <v>150318</v>
      </c>
    </row>
    <row r="421" spans="1:20" ht="19">
      <c r="A421" s="182">
        <v>6503468</v>
      </c>
      <c r="B421" s="290" t="s">
        <v>575</v>
      </c>
      <c r="C421" s="181" t="s">
        <v>90</v>
      </c>
      <c r="D421" s="291">
        <v>2027</v>
      </c>
      <c r="E421" s="181" t="s">
        <v>90</v>
      </c>
      <c r="T421" s="31">
        <v>160518</v>
      </c>
    </row>
    <row r="422" spans="1:20" ht="19">
      <c r="A422" s="182">
        <v>6503233</v>
      </c>
      <c r="B422" s="290" t="s">
        <v>577</v>
      </c>
      <c r="C422" s="298" t="s">
        <v>90</v>
      </c>
      <c r="D422" s="291">
        <v>2027</v>
      </c>
      <c r="E422" s="298" t="s">
        <v>90</v>
      </c>
      <c r="T422" s="31">
        <v>161118</v>
      </c>
    </row>
    <row r="423" spans="1:20" ht="19">
      <c r="A423" s="182">
        <v>6505597</v>
      </c>
      <c r="B423" s="290" t="s">
        <v>576</v>
      </c>
      <c r="C423" s="296" t="s">
        <v>91</v>
      </c>
      <c r="D423" s="291">
        <v>2027</v>
      </c>
      <c r="E423" s="296" t="s">
        <v>91</v>
      </c>
      <c r="T423" s="31">
        <v>170517</v>
      </c>
    </row>
    <row r="424" spans="1:20" ht="19">
      <c r="A424" s="182">
        <v>6505131</v>
      </c>
      <c r="B424" s="290" t="s">
        <v>873</v>
      </c>
      <c r="C424" s="182" t="s">
        <v>91</v>
      </c>
      <c r="D424" s="291">
        <v>2027</v>
      </c>
      <c r="E424" s="182" t="s">
        <v>91</v>
      </c>
      <c r="T424" s="31">
        <v>150326</v>
      </c>
    </row>
    <row r="425" spans="1:20" ht="19">
      <c r="A425" s="182">
        <v>6500278</v>
      </c>
      <c r="B425" s="290" t="s">
        <v>874</v>
      </c>
      <c r="C425" s="296" t="s">
        <v>91</v>
      </c>
      <c r="D425" s="291">
        <v>2027</v>
      </c>
      <c r="E425" s="296" t="s">
        <v>91</v>
      </c>
      <c r="T425" s="31">
        <v>160421</v>
      </c>
    </row>
    <row r="426" spans="1:20" ht="19">
      <c r="A426" s="182">
        <v>6504780</v>
      </c>
      <c r="B426" s="290" t="s">
        <v>875</v>
      </c>
      <c r="C426" s="278" t="s">
        <v>91</v>
      </c>
      <c r="D426" s="291">
        <v>2027</v>
      </c>
      <c r="E426" s="278" t="s">
        <v>91</v>
      </c>
      <c r="T426" s="31">
        <v>180525</v>
      </c>
    </row>
    <row r="427" spans="1:20" ht="19">
      <c r="A427" s="182">
        <v>6501092</v>
      </c>
      <c r="B427" s="290" t="s">
        <v>876</v>
      </c>
      <c r="C427" s="292" t="s">
        <v>268</v>
      </c>
      <c r="D427" s="291">
        <v>2027</v>
      </c>
      <c r="E427" s="292" t="s">
        <v>268</v>
      </c>
      <c r="T427" s="31">
        <v>180422</v>
      </c>
    </row>
    <row r="428" spans="1:20" ht="19">
      <c r="A428" s="182">
        <v>6507952</v>
      </c>
      <c r="B428" s="297" t="s">
        <v>877</v>
      </c>
      <c r="C428" s="292" t="s">
        <v>91</v>
      </c>
      <c r="D428" s="291">
        <v>2027</v>
      </c>
      <c r="E428" s="292" t="s">
        <v>91</v>
      </c>
      <c r="T428" s="31">
        <v>180426</v>
      </c>
    </row>
    <row r="429" spans="1:20" ht="19">
      <c r="A429" s="182">
        <v>6504332</v>
      </c>
      <c r="B429" s="297" t="s">
        <v>878</v>
      </c>
      <c r="C429" s="292" t="s">
        <v>90</v>
      </c>
      <c r="D429" s="291">
        <v>2027</v>
      </c>
      <c r="E429" s="292" t="s">
        <v>90</v>
      </c>
      <c r="T429" s="31">
        <v>180316</v>
      </c>
    </row>
    <row r="430" spans="1:20" ht="19">
      <c r="A430" s="182">
        <v>6504662</v>
      </c>
      <c r="B430" s="297" t="s">
        <v>223</v>
      </c>
      <c r="C430" s="292" t="s">
        <v>268</v>
      </c>
      <c r="D430" s="291">
        <v>2027</v>
      </c>
      <c r="E430" s="292" t="s">
        <v>268</v>
      </c>
      <c r="T430" s="31">
        <v>180332</v>
      </c>
    </row>
    <row r="431" spans="1:20" ht="19">
      <c r="A431" s="182">
        <v>6505125</v>
      </c>
      <c r="B431" s="297" t="s">
        <v>224</v>
      </c>
      <c r="C431" s="182" t="s">
        <v>91</v>
      </c>
      <c r="D431" s="291">
        <v>2027</v>
      </c>
      <c r="E431" s="182" t="s">
        <v>91</v>
      </c>
      <c r="T431" s="31">
        <v>170330</v>
      </c>
    </row>
    <row r="432" spans="1:20" ht="19">
      <c r="A432" s="182">
        <v>6506189</v>
      </c>
      <c r="B432" s="297" t="s">
        <v>225</v>
      </c>
      <c r="C432" s="292" t="s">
        <v>91</v>
      </c>
      <c r="D432" s="291">
        <v>2027</v>
      </c>
      <c r="E432" s="292" t="s">
        <v>91</v>
      </c>
      <c r="T432" s="31">
        <v>130317</v>
      </c>
    </row>
    <row r="433" spans="1:20" ht="19">
      <c r="A433" s="182">
        <v>6505330</v>
      </c>
      <c r="B433" s="297" t="s">
        <v>226</v>
      </c>
      <c r="C433" s="278" t="s">
        <v>91</v>
      </c>
      <c r="D433" s="291">
        <v>2027</v>
      </c>
      <c r="E433" s="278" t="s">
        <v>91</v>
      </c>
      <c r="T433" s="31">
        <v>160430</v>
      </c>
    </row>
    <row r="434" spans="1:20" ht="19">
      <c r="A434" s="182">
        <v>6503237</v>
      </c>
      <c r="B434" s="297" t="s">
        <v>227</v>
      </c>
      <c r="C434" s="278" t="s">
        <v>91</v>
      </c>
      <c r="D434" s="291">
        <v>2027</v>
      </c>
      <c r="E434" s="278" t="s">
        <v>91</v>
      </c>
      <c r="T434" s="31">
        <v>170535</v>
      </c>
    </row>
    <row r="435" spans="1:20" ht="19">
      <c r="A435" s="182">
        <v>6504974</v>
      </c>
      <c r="B435" s="297" t="s">
        <v>228</v>
      </c>
      <c r="C435" s="292" t="s">
        <v>91</v>
      </c>
      <c r="D435" s="291">
        <v>2027</v>
      </c>
      <c r="E435" s="292" t="s">
        <v>91</v>
      </c>
      <c r="T435" s="31">
        <v>120106</v>
      </c>
    </row>
    <row r="436" spans="1:20" ht="19">
      <c r="A436" s="182">
        <v>6504109</v>
      </c>
      <c r="B436" s="297" t="s">
        <v>229</v>
      </c>
      <c r="C436" s="182" t="s">
        <v>91</v>
      </c>
      <c r="D436" s="291">
        <v>2027</v>
      </c>
      <c r="E436" s="182" t="s">
        <v>91</v>
      </c>
      <c r="T436" s="31">
        <v>120322</v>
      </c>
    </row>
    <row r="437" spans="1:20" ht="19">
      <c r="A437" s="182">
        <v>6505541</v>
      </c>
      <c r="B437" s="297" t="s">
        <v>879</v>
      </c>
      <c r="C437" s="278" t="s">
        <v>268</v>
      </c>
      <c r="D437" s="291">
        <v>2027</v>
      </c>
      <c r="E437" s="278" t="s">
        <v>268</v>
      </c>
      <c r="T437" s="31">
        <v>120313</v>
      </c>
    </row>
    <row r="438" spans="1:20" ht="19">
      <c r="A438" s="182">
        <v>6505132</v>
      </c>
      <c r="B438" s="297" t="s">
        <v>880</v>
      </c>
      <c r="C438" s="278" t="s">
        <v>268</v>
      </c>
      <c r="D438" s="291">
        <v>2027</v>
      </c>
      <c r="E438" s="278" t="s">
        <v>268</v>
      </c>
      <c r="T438" s="31">
        <v>140217</v>
      </c>
    </row>
    <row r="439" spans="1:20" ht="19">
      <c r="A439" s="182">
        <v>6504106</v>
      </c>
      <c r="B439" s="297" t="s">
        <v>881</v>
      </c>
      <c r="C439" s="292" t="s">
        <v>90</v>
      </c>
      <c r="D439" s="291">
        <v>2027</v>
      </c>
      <c r="E439" s="292" t="s">
        <v>90</v>
      </c>
      <c r="T439" s="31">
        <v>140115</v>
      </c>
    </row>
    <row r="440" spans="1:20" ht="19">
      <c r="A440" s="182">
        <v>6504324</v>
      </c>
      <c r="B440" s="297" t="s">
        <v>882</v>
      </c>
      <c r="C440" s="278" t="s">
        <v>91</v>
      </c>
      <c r="D440" s="291">
        <v>2027</v>
      </c>
      <c r="E440" s="278" t="s">
        <v>91</v>
      </c>
      <c r="T440" s="31">
        <v>130210</v>
      </c>
    </row>
    <row r="441" spans="1:20" ht="19">
      <c r="A441" s="182">
        <v>6505553</v>
      </c>
      <c r="B441" s="297" t="s">
        <v>883</v>
      </c>
      <c r="C441" s="278" t="s">
        <v>91</v>
      </c>
      <c r="D441" s="291">
        <v>2027</v>
      </c>
      <c r="E441" s="278" t="s">
        <v>91</v>
      </c>
      <c r="T441" s="31">
        <v>130212</v>
      </c>
    </row>
    <row r="442" spans="1:20" ht="19">
      <c r="A442" s="182">
        <v>6504952</v>
      </c>
      <c r="B442" s="297" t="s">
        <v>884</v>
      </c>
      <c r="C442" s="292" t="s">
        <v>91</v>
      </c>
      <c r="D442" s="291">
        <v>2027</v>
      </c>
      <c r="E442" s="292" t="s">
        <v>91</v>
      </c>
      <c r="T442" s="31">
        <v>140114</v>
      </c>
    </row>
    <row r="443" spans="1:20" ht="19">
      <c r="A443" s="182">
        <v>6503460</v>
      </c>
      <c r="B443" s="297" t="s">
        <v>885</v>
      </c>
      <c r="C443" s="278" t="s">
        <v>91</v>
      </c>
      <c r="D443" s="291">
        <v>2027</v>
      </c>
      <c r="E443" s="278" t="s">
        <v>91</v>
      </c>
      <c r="T443" s="31">
        <v>156313</v>
      </c>
    </row>
    <row r="444" spans="1:20" ht="19">
      <c r="A444" s="182">
        <v>6504794</v>
      </c>
      <c r="B444" s="297" t="s">
        <v>886</v>
      </c>
      <c r="C444" s="292" t="s">
        <v>91</v>
      </c>
      <c r="D444" s="291">
        <v>2027</v>
      </c>
      <c r="E444" s="292" t="s">
        <v>91</v>
      </c>
      <c r="T444" s="31">
        <v>156310</v>
      </c>
    </row>
    <row r="445" spans="1:20" ht="19">
      <c r="A445" s="182">
        <v>6504503</v>
      </c>
      <c r="B445" s="297" t="s">
        <v>887</v>
      </c>
      <c r="C445" s="296" t="s">
        <v>91</v>
      </c>
      <c r="D445" s="291">
        <v>2027</v>
      </c>
      <c r="E445" s="296" t="s">
        <v>91</v>
      </c>
      <c r="T445" s="31">
        <v>156414</v>
      </c>
    </row>
    <row r="446" spans="1:20" ht="19">
      <c r="A446" s="182">
        <v>6505127</v>
      </c>
      <c r="B446" s="297" t="s">
        <v>888</v>
      </c>
      <c r="C446" s="292" t="s">
        <v>268</v>
      </c>
      <c r="D446" s="291">
        <v>2027</v>
      </c>
      <c r="E446" s="292" t="s">
        <v>268</v>
      </c>
      <c r="T446" s="31">
        <v>170929</v>
      </c>
    </row>
    <row r="447" spans="1:20" ht="19">
      <c r="A447" s="182">
        <v>6002973</v>
      </c>
      <c r="B447" s="297" t="s">
        <v>889</v>
      </c>
      <c r="C447" s="292" t="s">
        <v>268</v>
      </c>
      <c r="D447" s="291">
        <v>2027</v>
      </c>
      <c r="E447" s="292" t="s">
        <v>268</v>
      </c>
      <c r="T447" s="31">
        <v>160632</v>
      </c>
    </row>
    <row r="448" spans="1:20" ht="19">
      <c r="A448" s="182">
        <v>6503704</v>
      </c>
      <c r="B448" s="297" t="s">
        <v>890</v>
      </c>
      <c r="C448" s="292" t="s">
        <v>268</v>
      </c>
      <c r="D448" s="291">
        <v>2027</v>
      </c>
      <c r="E448" s="292" t="s">
        <v>268</v>
      </c>
      <c r="T448" s="31">
        <v>170843</v>
      </c>
    </row>
    <row r="449" spans="1:20" ht="19">
      <c r="A449" s="182">
        <v>6503994</v>
      </c>
      <c r="B449" s="290" t="s">
        <v>891</v>
      </c>
      <c r="C449" s="298" t="s">
        <v>90</v>
      </c>
      <c r="D449" s="291">
        <v>2027</v>
      </c>
      <c r="E449" s="298" t="s">
        <v>90</v>
      </c>
      <c r="T449" s="31">
        <v>150535</v>
      </c>
    </row>
    <row r="450" spans="1:20" ht="19">
      <c r="A450" s="182">
        <v>6504578</v>
      </c>
      <c r="B450" s="297" t="s">
        <v>294</v>
      </c>
      <c r="C450" s="298" t="s">
        <v>90</v>
      </c>
      <c r="D450" s="291">
        <v>2027</v>
      </c>
      <c r="E450" s="298" t="s">
        <v>90</v>
      </c>
      <c r="T450" s="31">
        <v>160639</v>
      </c>
    </row>
    <row r="451" spans="1:20" ht="19">
      <c r="A451" s="182">
        <v>6505067</v>
      </c>
      <c r="B451" s="290" t="s">
        <v>892</v>
      </c>
      <c r="C451" s="296" t="s">
        <v>91</v>
      </c>
      <c r="D451" s="291">
        <v>2027</v>
      </c>
      <c r="E451" s="296" t="s">
        <v>91</v>
      </c>
      <c r="T451" s="31">
        <v>160540</v>
      </c>
    </row>
    <row r="452" spans="1:20" ht="19">
      <c r="A452" s="182">
        <v>6504778</v>
      </c>
      <c r="B452" s="297" t="s">
        <v>260</v>
      </c>
      <c r="C452" s="296" t="s">
        <v>91</v>
      </c>
      <c r="D452" s="291">
        <v>2027</v>
      </c>
      <c r="E452" s="296" t="s">
        <v>91</v>
      </c>
      <c r="T452" s="31">
        <v>120426</v>
      </c>
    </row>
    <row r="453" spans="1:20" ht="19">
      <c r="A453" s="182">
        <v>6505287</v>
      </c>
      <c r="B453" s="290" t="s">
        <v>893</v>
      </c>
      <c r="C453" s="296" t="s">
        <v>91</v>
      </c>
      <c r="D453" s="291">
        <v>2027</v>
      </c>
      <c r="E453" s="296" t="s">
        <v>91</v>
      </c>
      <c r="T453" s="31">
        <v>140627</v>
      </c>
    </row>
    <row r="454" spans="1:20" ht="19">
      <c r="A454" s="182">
        <v>6500307</v>
      </c>
      <c r="B454" s="290" t="s">
        <v>261</v>
      </c>
      <c r="C454" s="296" t="s">
        <v>91</v>
      </c>
      <c r="D454" s="291">
        <v>2027</v>
      </c>
      <c r="E454" s="296" t="s">
        <v>91</v>
      </c>
      <c r="T454" s="31">
        <v>140434</v>
      </c>
    </row>
    <row r="455" spans="1:20" ht="19">
      <c r="A455" s="182">
        <v>6505184</v>
      </c>
      <c r="B455" s="297" t="s">
        <v>894</v>
      </c>
      <c r="C455" s="296" t="s">
        <v>91</v>
      </c>
      <c r="D455" s="291">
        <v>2027</v>
      </c>
      <c r="E455" s="296" t="s">
        <v>91</v>
      </c>
      <c r="T455" s="31">
        <v>150538</v>
      </c>
    </row>
    <row r="456" spans="1:20" ht="19">
      <c r="A456" s="182">
        <v>6504759</v>
      </c>
      <c r="B456" s="297" t="s">
        <v>262</v>
      </c>
      <c r="C456" s="278" t="s">
        <v>91</v>
      </c>
      <c r="D456" s="291">
        <v>2027</v>
      </c>
      <c r="E456" s="278" t="s">
        <v>91</v>
      </c>
      <c r="T456" s="31">
        <v>150525</v>
      </c>
    </row>
    <row r="457" spans="1:20" ht="19">
      <c r="A457" s="182">
        <v>6504980</v>
      </c>
      <c r="B457" s="301" t="s">
        <v>895</v>
      </c>
      <c r="C457" s="278" t="s">
        <v>91</v>
      </c>
      <c r="D457" s="291">
        <v>2027</v>
      </c>
      <c r="E457" s="278" t="s">
        <v>91</v>
      </c>
      <c r="T457" s="31">
        <v>120521</v>
      </c>
    </row>
    <row r="458" spans="1:20" ht="19">
      <c r="A458" s="182">
        <v>6504710</v>
      </c>
      <c r="B458" s="301" t="s">
        <v>896</v>
      </c>
      <c r="C458" s="292" t="s">
        <v>91</v>
      </c>
      <c r="D458" s="291">
        <v>2027</v>
      </c>
      <c r="E458" s="292" t="s">
        <v>91</v>
      </c>
      <c r="T458" s="31">
        <v>120524</v>
      </c>
    </row>
    <row r="459" spans="1:20" ht="19">
      <c r="A459" s="182">
        <v>6505333</v>
      </c>
      <c r="B459" s="301" t="s">
        <v>897</v>
      </c>
      <c r="C459" s="278" t="s">
        <v>91</v>
      </c>
      <c r="D459" s="291">
        <v>2027</v>
      </c>
      <c r="E459" s="278" t="s">
        <v>91</v>
      </c>
      <c r="T459" s="31">
        <v>120525</v>
      </c>
    </row>
    <row r="460" spans="1:20" ht="19">
      <c r="A460" s="182">
        <v>6507954</v>
      </c>
      <c r="B460" s="301" t="s">
        <v>898</v>
      </c>
      <c r="C460" s="278" t="s">
        <v>91</v>
      </c>
      <c r="D460" s="291">
        <v>2027</v>
      </c>
      <c r="E460" s="278" t="s">
        <v>91</v>
      </c>
      <c r="T460" s="31">
        <v>120520</v>
      </c>
    </row>
    <row r="461" spans="1:20" ht="19">
      <c r="A461" s="182">
        <v>6507810</v>
      </c>
      <c r="B461" s="301" t="s">
        <v>899</v>
      </c>
      <c r="C461" s="278" t="s">
        <v>91</v>
      </c>
      <c r="D461" s="291">
        <v>2027</v>
      </c>
      <c r="E461" s="278" t="s">
        <v>91</v>
      </c>
      <c r="T461" s="31">
        <v>130333</v>
      </c>
    </row>
    <row r="462" spans="1:20" ht="19">
      <c r="A462" s="182">
        <v>6504502</v>
      </c>
      <c r="B462" s="301" t="s">
        <v>900</v>
      </c>
      <c r="C462" s="292" t="s">
        <v>90</v>
      </c>
      <c r="D462" s="291">
        <v>2027</v>
      </c>
      <c r="E462" s="292" t="s">
        <v>90</v>
      </c>
      <c r="T462" s="31">
        <v>130319</v>
      </c>
    </row>
    <row r="463" spans="1:20" ht="19">
      <c r="A463" s="182">
        <v>6506015</v>
      </c>
      <c r="B463" s="301" t="s">
        <v>901</v>
      </c>
      <c r="C463" s="278" t="s">
        <v>91</v>
      </c>
      <c r="D463" s="291">
        <v>2027</v>
      </c>
      <c r="E463" s="278" t="s">
        <v>91</v>
      </c>
      <c r="T463" s="31">
        <v>130530</v>
      </c>
    </row>
    <row r="464" spans="1:20" ht="19">
      <c r="A464" s="182">
        <v>6506028</v>
      </c>
      <c r="B464" s="301" t="s">
        <v>902</v>
      </c>
      <c r="C464" s="292" t="s">
        <v>268</v>
      </c>
      <c r="D464" s="291">
        <v>2027</v>
      </c>
      <c r="E464" s="292" t="s">
        <v>268</v>
      </c>
      <c r="T464" s="31">
        <v>130331</v>
      </c>
    </row>
    <row r="465" spans="1:20" ht="19">
      <c r="A465" s="182">
        <v>6505063</v>
      </c>
      <c r="B465" s="301" t="s">
        <v>903</v>
      </c>
      <c r="C465" s="182" t="s">
        <v>91</v>
      </c>
      <c r="D465" s="291">
        <v>2027</v>
      </c>
      <c r="E465" s="182" t="s">
        <v>91</v>
      </c>
      <c r="T465" s="31">
        <v>120741</v>
      </c>
    </row>
    <row r="466" spans="1:20" ht="19">
      <c r="A466" s="182">
        <v>6501094</v>
      </c>
      <c r="B466" s="301" t="s">
        <v>904</v>
      </c>
      <c r="C466" s="278" t="s">
        <v>268</v>
      </c>
      <c r="D466" s="291">
        <v>2027</v>
      </c>
      <c r="E466" s="278" t="s">
        <v>268</v>
      </c>
      <c r="T466" s="31">
        <v>150543</v>
      </c>
    </row>
    <row r="467" spans="1:20" ht="19">
      <c r="A467" s="182">
        <v>6505128</v>
      </c>
      <c r="B467" s="301" t="s">
        <v>905</v>
      </c>
      <c r="C467" s="278" t="s">
        <v>268</v>
      </c>
      <c r="D467" s="291">
        <v>2027</v>
      </c>
      <c r="E467" s="278" t="s">
        <v>268</v>
      </c>
      <c r="T467" s="31">
        <v>120435</v>
      </c>
    </row>
    <row r="468" spans="1:20" ht="19">
      <c r="A468" s="182">
        <v>6503384</v>
      </c>
      <c r="B468" s="301" t="s">
        <v>906</v>
      </c>
      <c r="C468" s="292" t="s">
        <v>91</v>
      </c>
      <c r="D468" s="291">
        <v>2027</v>
      </c>
      <c r="E468" s="292" t="s">
        <v>91</v>
      </c>
      <c r="T468" s="31">
        <v>130540</v>
      </c>
    </row>
    <row r="469" spans="1:20" ht="19">
      <c r="A469" s="182">
        <v>6504492</v>
      </c>
      <c r="B469" s="301" t="s">
        <v>907</v>
      </c>
      <c r="C469" s="292" t="s">
        <v>268</v>
      </c>
      <c r="D469" s="291">
        <v>2027</v>
      </c>
      <c r="E469" s="292" t="s">
        <v>268</v>
      </c>
      <c r="T469" s="31">
        <v>150533</v>
      </c>
    </row>
    <row r="470" spans="1:20" ht="19">
      <c r="A470" s="182">
        <v>6506126</v>
      </c>
      <c r="B470" s="301" t="s">
        <v>908</v>
      </c>
      <c r="C470" s="182" t="s">
        <v>91</v>
      </c>
      <c r="D470" s="291">
        <v>2027</v>
      </c>
      <c r="E470" s="182" t="s">
        <v>91</v>
      </c>
      <c r="T470" s="31">
        <v>140445</v>
      </c>
    </row>
    <row r="471" spans="1:20" ht="19">
      <c r="A471" s="182">
        <v>6504519</v>
      </c>
      <c r="B471" s="301" t="s">
        <v>909</v>
      </c>
      <c r="C471" s="292" t="s">
        <v>268</v>
      </c>
      <c r="D471" s="291">
        <v>2027</v>
      </c>
      <c r="E471" s="292" t="s">
        <v>268</v>
      </c>
      <c r="T471" s="31">
        <v>140446</v>
      </c>
    </row>
    <row r="472" spans="1:20" ht="19">
      <c r="A472" s="182">
        <v>6506025</v>
      </c>
      <c r="B472" s="301" t="s">
        <v>910</v>
      </c>
      <c r="C472" s="292" t="s">
        <v>268</v>
      </c>
      <c r="D472" s="291">
        <v>2027</v>
      </c>
      <c r="E472" s="292" t="s">
        <v>268</v>
      </c>
      <c r="T472" s="31">
        <v>130550</v>
      </c>
    </row>
    <row r="473" spans="1:20" ht="19">
      <c r="A473" s="182">
        <v>6503928</v>
      </c>
      <c r="B473" s="301" t="s">
        <v>911</v>
      </c>
      <c r="C473" s="292" t="s">
        <v>91</v>
      </c>
      <c r="D473" s="291">
        <v>2027</v>
      </c>
      <c r="E473" s="292" t="s">
        <v>91</v>
      </c>
      <c r="T473" s="31">
        <v>150336</v>
      </c>
    </row>
    <row r="474" spans="1:20" ht="19">
      <c r="A474" s="182">
        <v>6504497</v>
      </c>
      <c r="B474" s="301" t="s">
        <v>912</v>
      </c>
      <c r="C474" s="292" t="s">
        <v>91</v>
      </c>
      <c r="D474" s="291">
        <v>2027</v>
      </c>
      <c r="E474" s="292" t="s">
        <v>91</v>
      </c>
      <c r="T474" s="31">
        <v>150332</v>
      </c>
    </row>
    <row r="475" spans="1:20" ht="19">
      <c r="A475" s="182">
        <v>6501185</v>
      </c>
      <c r="B475" s="301" t="s">
        <v>913</v>
      </c>
      <c r="C475" s="292" t="s">
        <v>91</v>
      </c>
      <c r="D475" s="291">
        <v>2027</v>
      </c>
      <c r="E475" s="292" t="s">
        <v>91</v>
      </c>
      <c r="T475" s="31">
        <v>150341</v>
      </c>
    </row>
    <row r="476" spans="1:20" ht="19">
      <c r="A476" s="182">
        <v>6506043</v>
      </c>
      <c r="B476" s="301" t="s">
        <v>914</v>
      </c>
      <c r="C476" s="296" t="s">
        <v>91</v>
      </c>
      <c r="D476" s="291">
        <v>2027</v>
      </c>
      <c r="E476" s="296" t="s">
        <v>91</v>
      </c>
      <c r="T476" s="31">
        <v>160435</v>
      </c>
    </row>
    <row r="477" spans="1:20" ht="19">
      <c r="A477" s="182">
        <v>6505071</v>
      </c>
      <c r="B477" s="302" t="s">
        <v>915</v>
      </c>
      <c r="C477" s="182" t="s">
        <v>91</v>
      </c>
      <c r="D477" s="291">
        <v>2027</v>
      </c>
      <c r="E477" s="182" t="s">
        <v>91</v>
      </c>
      <c r="T477" s="31">
        <v>160230</v>
      </c>
    </row>
    <row r="478" spans="1:20" ht="19">
      <c r="A478" s="182">
        <v>6508068</v>
      </c>
      <c r="B478" s="302" t="s">
        <v>916</v>
      </c>
      <c r="C478" s="182" t="s">
        <v>91</v>
      </c>
      <c r="D478" s="291">
        <v>2027</v>
      </c>
      <c r="E478" s="182" t="s">
        <v>91</v>
      </c>
      <c r="T478" s="31">
        <v>170336</v>
      </c>
    </row>
    <row r="479" spans="1:20" ht="19">
      <c r="A479" s="182">
        <v>6505525</v>
      </c>
      <c r="B479" s="302" t="s">
        <v>917</v>
      </c>
      <c r="C479" s="278" t="s">
        <v>91</v>
      </c>
      <c r="D479" s="291">
        <v>2027</v>
      </c>
      <c r="E479" s="278" t="s">
        <v>91</v>
      </c>
      <c r="T479" s="31">
        <v>160233</v>
      </c>
    </row>
    <row r="480" spans="1:20" ht="19">
      <c r="A480" s="182">
        <v>6506821</v>
      </c>
      <c r="B480" s="302" t="s">
        <v>918</v>
      </c>
      <c r="C480" s="278" t="s">
        <v>91</v>
      </c>
      <c r="D480" s="291">
        <v>2027</v>
      </c>
      <c r="E480" s="278" t="s">
        <v>91</v>
      </c>
      <c r="T480" s="31">
        <v>146408</v>
      </c>
    </row>
    <row r="481" spans="1:20" ht="19">
      <c r="A481" s="182">
        <v>6504500</v>
      </c>
      <c r="B481" s="302" t="s">
        <v>919</v>
      </c>
      <c r="C481" s="278" t="s">
        <v>268</v>
      </c>
      <c r="D481" s="291">
        <v>2027</v>
      </c>
      <c r="E481" s="278" t="s">
        <v>268</v>
      </c>
      <c r="T481" s="31">
        <v>190511</v>
      </c>
    </row>
    <row r="482" spans="1:20" ht="19">
      <c r="A482" s="182">
        <v>6504781</v>
      </c>
      <c r="B482" s="302" t="s">
        <v>920</v>
      </c>
      <c r="C482" s="292" t="s">
        <v>91</v>
      </c>
      <c r="D482" s="291">
        <v>2027</v>
      </c>
      <c r="E482" s="292" t="s">
        <v>91</v>
      </c>
      <c r="T482" s="31">
        <v>166444</v>
      </c>
    </row>
    <row r="483" spans="1:20" ht="19">
      <c r="A483" s="182">
        <v>6506033</v>
      </c>
      <c r="B483" s="302" t="s">
        <v>921</v>
      </c>
      <c r="C483" s="292" t="s">
        <v>91</v>
      </c>
      <c r="D483" s="291">
        <v>2027</v>
      </c>
      <c r="E483" s="292" t="s">
        <v>91</v>
      </c>
      <c r="T483" s="31">
        <v>166339</v>
      </c>
    </row>
    <row r="484" spans="1:20" ht="19">
      <c r="A484" s="182">
        <v>6505201</v>
      </c>
      <c r="B484" s="302" t="s">
        <v>922</v>
      </c>
      <c r="C484" s="182" t="s">
        <v>91</v>
      </c>
      <c r="D484" s="291">
        <v>2027</v>
      </c>
      <c r="E484" s="182" t="s">
        <v>91</v>
      </c>
      <c r="T484" s="31">
        <v>166138</v>
      </c>
    </row>
    <row r="485" spans="1:20" ht="19">
      <c r="A485" s="182">
        <v>6504656</v>
      </c>
      <c r="B485" s="302" t="s">
        <v>923</v>
      </c>
      <c r="C485" s="278" t="s">
        <v>91</v>
      </c>
      <c r="D485" s="291">
        <v>2027</v>
      </c>
      <c r="E485" s="278" t="s">
        <v>91</v>
      </c>
      <c r="T485" s="31">
        <v>140156</v>
      </c>
    </row>
    <row r="486" spans="1:20" ht="19">
      <c r="A486" s="182">
        <v>6504852</v>
      </c>
      <c r="B486" s="302" t="s">
        <v>924</v>
      </c>
      <c r="C486" s="292" t="s">
        <v>90</v>
      </c>
      <c r="D486" s="291">
        <v>2027</v>
      </c>
      <c r="E486" s="292" t="s">
        <v>90</v>
      </c>
      <c r="T486" s="31">
        <v>146340</v>
      </c>
    </row>
    <row r="487" spans="1:20" ht="19">
      <c r="A487" s="182">
        <v>6505225</v>
      </c>
      <c r="B487" s="302" t="s">
        <v>925</v>
      </c>
      <c r="C487" s="278" t="s">
        <v>268</v>
      </c>
      <c r="D487" s="291">
        <v>2027</v>
      </c>
      <c r="E487" s="278" t="s">
        <v>268</v>
      </c>
      <c r="T487" s="31">
        <v>156432</v>
      </c>
    </row>
    <row r="488" spans="1:20" ht="19">
      <c r="A488" s="182">
        <v>6501097</v>
      </c>
      <c r="B488" s="302" t="s">
        <v>926</v>
      </c>
      <c r="C488" s="296" t="s">
        <v>91</v>
      </c>
      <c r="D488" s="291">
        <v>2027</v>
      </c>
      <c r="E488" s="296" t="s">
        <v>91</v>
      </c>
      <c r="T488" s="31">
        <v>166329</v>
      </c>
    </row>
    <row r="489" spans="1:20" ht="19">
      <c r="A489" s="182">
        <v>6505512</v>
      </c>
      <c r="B489" s="302" t="s">
        <v>927</v>
      </c>
      <c r="C489" s="292" t="s">
        <v>268</v>
      </c>
      <c r="D489" s="291">
        <v>2027</v>
      </c>
      <c r="E489" s="292" t="s">
        <v>268</v>
      </c>
      <c r="T489" s="31">
        <v>120225</v>
      </c>
    </row>
    <row r="490" spans="1:20" ht="19">
      <c r="A490" s="182">
        <v>6504884</v>
      </c>
      <c r="B490" s="302" t="s">
        <v>928</v>
      </c>
      <c r="C490" s="292" t="s">
        <v>268</v>
      </c>
      <c r="D490" s="291">
        <v>2027</v>
      </c>
      <c r="E490" s="292" t="s">
        <v>268</v>
      </c>
      <c r="T490" s="31">
        <v>130221</v>
      </c>
    </row>
    <row r="491" spans="1:20" ht="19">
      <c r="A491" s="182">
        <v>6504327</v>
      </c>
      <c r="B491" s="302" t="s">
        <v>929</v>
      </c>
      <c r="C491" s="296" t="s">
        <v>91</v>
      </c>
      <c r="D491" s="291">
        <v>2027</v>
      </c>
      <c r="E491" s="296" t="s">
        <v>91</v>
      </c>
      <c r="T491" s="31">
        <v>140123</v>
      </c>
    </row>
    <row r="492" spans="1:20" ht="19">
      <c r="A492" s="182">
        <v>6506007</v>
      </c>
      <c r="B492" s="302" t="s">
        <v>930</v>
      </c>
      <c r="C492" s="278" t="s">
        <v>91</v>
      </c>
      <c r="D492" s="291">
        <v>2027</v>
      </c>
      <c r="E492" s="278" t="s">
        <v>91</v>
      </c>
      <c r="T492" s="31">
        <v>156437</v>
      </c>
    </row>
    <row r="493" spans="1:20" ht="19">
      <c r="A493" s="182">
        <v>6504010</v>
      </c>
      <c r="B493" s="302" t="s">
        <v>931</v>
      </c>
      <c r="C493" s="278" t="s">
        <v>91</v>
      </c>
      <c r="D493" s="291">
        <v>2027</v>
      </c>
      <c r="E493" s="278" t="s">
        <v>91</v>
      </c>
      <c r="T493" s="31">
        <v>156442</v>
      </c>
    </row>
    <row r="494" spans="1:20" ht="19">
      <c r="A494" s="182">
        <v>6501095</v>
      </c>
      <c r="B494" s="302" t="s">
        <v>932</v>
      </c>
      <c r="C494" s="296" t="s">
        <v>91</v>
      </c>
      <c r="D494" s="291">
        <v>2027</v>
      </c>
      <c r="E494" s="296" t="s">
        <v>91</v>
      </c>
      <c r="T494" s="31">
        <v>156428</v>
      </c>
    </row>
    <row r="495" spans="1:20" ht="19">
      <c r="A495" s="182">
        <v>6505182</v>
      </c>
      <c r="B495" s="302" t="s">
        <v>933</v>
      </c>
      <c r="C495" s="181" t="s">
        <v>268</v>
      </c>
      <c r="D495" s="291">
        <v>2027</v>
      </c>
      <c r="E495" s="181" t="s">
        <v>268</v>
      </c>
      <c r="T495" s="31">
        <v>160123</v>
      </c>
    </row>
    <row r="496" spans="1:20" ht="19">
      <c r="A496" s="182">
        <v>6505069</v>
      </c>
      <c r="B496" s="302" t="s">
        <v>934</v>
      </c>
      <c r="C496" s="296" t="s">
        <v>91</v>
      </c>
      <c r="D496" s="291">
        <v>2027</v>
      </c>
      <c r="E496" s="296" t="s">
        <v>91</v>
      </c>
      <c r="T496" s="31">
        <v>130111</v>
      </c>
    </row>
    <row r="497" spans="1:20" ht="19">
      <c r="A497" s="182">
        <v>6502401</v>
      </c>
      <c r="B497" s="302" t="s">
        <v>935</v>
      </c>
      <c r="C497" s="292" t="s">
        <v>268</v>
      </c>
      <c r="D497" s="291">
        <v>2027</v>
      </c>
      <c r="E497" s="292" t="s">
        <v>268</v>
      </c>
      <c r="T497" s="31">
        <v>120317</v>
      </c>
    </row>
    <row r="498" spans="1:20" ht="19">
      <c r="A498" s="182">
        <v>6503235</v>
      </c>
      <c r="B498" s="302" t="s">
        <v>936</v>
      </c>
      <c r="C498" s="292" t="s">
        <v>91</v>
      </c>
      <c r="D498" s="291">
        <v>2027</v>
      </c>
      <c r="E498" s="292" t="s">
        <v>91</v>
      </c>
      <c r="T498" s="31">
        <v>140121</v>
      </c>
    </row>
    <row r="499" spans="1:20" ht="19">
      <c r="A499" s="182">
        <v>6505918</v>
      </c>
      <c r="B499" s="302" t="s">
        <v>937</v>
      </c>
      <c r="C499" s="292" t="s">
        <v>90</v>
      </c>
      <c r="D499" s="291">
        <v>2027</v>
      </c>
      <c r="E499" s="292" t="s">
        <v>90</v>
      </c>
      <c r="T499" s="31">
        <v>156317</v>
      </c>
    </row>
    <row r="500" spans="1:20" ht="19">
      <c r="A500" s="182">
        <v>6506798</v>
      </c>
      <c r="B500" s="302" t="s">
        <v>938</v>
      </c>
      <c r="C500" s="296" t="s">
        <v>91</v>
      </c>
      <c r="D500" s="291">
        <v>2027</v>
      </c>
      <c r="E500" s="296" t="s">
        <v>91</v>
      </c>
      <c r="T500" s="31">
        <v>156316</v>
      </c>
    </row>
    <row r="501" spans="1:20" ht="19">
      <c r="A501" s="182">
        <v>6505427</v>
      </c>
      <c r="B501" s="303" t="s">
        <v>939</v>
      </c>
      <c r="C501" s="181" t="s">
        <v>91</v>
      </c>
      <c r="D501" s="291">
        <v>2027</v>
      </c>
      <c r="E501" s="181" t="s">
        <v>91</v>
      </c>
      <c r="T501" s="31">
        <v>160228</v>
      </c>
    </row>
    <row r="502" spans="1:20" ht="19">
      <c r="A502" s="182">
        <v>6504491</v>
      </c>
      <c r="B502" s="304" t="s">
        <v>940</v>
      </c>
      <c r="C502" s="278" t="s">
        <v>91</v>
      </c>
      <c r="D502" s="291">
        <v>2027</v>
      </c>
      <c r="E502" s="278" t="s">
        <v>91</v>
      </c>
      <c r="T502" s="31">
        <v>165942</v>
      </c>
    </row>
    <row r="503" spans="1:20" ht="19">
      <c r="A503" s="182">
        <v>6505126</v>
      </c>
      <c r="B503" s="302" t="s">
        <v>941</v>
      </c>
      <c r="C503" s="278" t="s">
        <v>91</v>
      </c>
      <c r="D503" s="291">
        <v>2027</v>
      </c>
      <c r="E503" s="278" t="s">
        <v>91</v>
      </c>
      <c r="T503" s="31">
        <v>185633</v>
      </c>
    </row>
    <row r="504" spans="1:20" ht="19">
      <c r="A504" s="182">
        <v>6505185</v>
      </c>
      <c r="B504" s="302" t="s">
        <v>942</v>
      </c>
      <c r="C504" s="278" t="s">
        <v>91</v>
      </c>
      <c r="D504" s="291">
        <v>2027</v>
      </c>
      <c r="E504" s="278" t="s">
        <v>91</v>
      </c>
      <c r="T504" s="31">
        <v>166030</v>
      </c>
    </row>
    <row r="505" spans="1:20" ht="19">
      <c r="A505" s="182">
        <v>6505107</v>
      </c>
      <c r="B505" s="302" t="s">
        <v>943</v>
      </c>
      <c r="C505" s="278" t="s">
        <v>268</v>
      </c>
      <c r="D505" s="291">
        <v>2027</v>
      </c>
      <c r="E505" s="278" t="s">
        <v>268</v>
      </c>
      <c r="T505" s="31">
        <v>156123</v>
      </c>
    </row>
    <row r="506" spans="1:20" ht="19">
      <c r="A506" s="182">
        <v>6505199</v>
      </c>
      <c r="B506" s="302" t="s">
        <v>944</v>
      </c>
      <c r="C506" s="278" t="s">
        <v>268</v>
      </c>
      <c r="D506" s="291">
        <v>2027</v>
      </c>
      <c r="E506" s="278" t="s">
        <v>268</v>
      </c>
      <c r="T506" s="31">
        <v>165930</v>
      </c>
    </row>
    <row r="507" spans="1:20" ht="19">
      <c r="A507" s="182">
        <v>6502586</v>
      </c>
      <c r="B507" s="302" t="s">
        <v>945</v>
      </c>
      <c r="C507" s="181" t="s">
        <v>268</v>
      </c>
      <c r="D507" s="291">
        <v>2027</v>
      </c>
      <c r="E507" s="181" t="s">
        <v>268</v>
      </c>
      <c r="T507" s="31">
        <v>186022</v>
      </c>
    </row>
    <row r="508" spans="1:20" ht="19">
      <c r="A508" s="182">
        <v>6503215</v>
      </c>
      <c r="B508" s="302" t="s">
        <v>946</v>
      </c>
      <c r="C508" s="278" t="s">
        <v>91</v>
      </c>
      <c r="D508" s="291">
        <v>2027</v>
      </c>
      <c r="E508" s="278" t="s">
        <v>91</v>
      </c>
      <c r="T508" s="31">
        <v>175923</v>
      </c>
    </row>
    <row r="509" spans="1:20" ht="19">
      <c r="A509" s="182">
        <v>6505580</v>
      </c>
      <c r="B509" s="302" t="s">
        <v>947</v>
      </c>
      <c r="C509" s="292" t="s">
        <v>268</v>
      </c>
      <c r="D509" s="291">
        <v>2027</v>
      </c>
      <c r="E509" s="292" t="s">
        <v>268</v>
      </c>
      <c r="T509" s="31">
        <v>146017</v>
      </c>
    </row>
    <row r="510" spans="1:20" ht="19">
      <c r="A510" s="182">
        <v>6504953</v>
      </c>
      <c r="B510" s="302" t="s">
        <v>948</v>
      </c>
      <c r="C510" s="292" t="s">
        <v>268</v>
      </c>
      <c r="D510" s="291">
        <v>2027</v>
      </c>
      <c r="E510" s="292" t="s">
        <v>268</v>
      </c>
      <c r="T510" s="31">
        <v>165825</v>
      </c>
    </row>
    <row r="511" spans="1:20" ht="19">
      <c r="A511" s="182">
        <v>6501061</v>
      </c>
      <c r="B511" s="302" t="s">
        <v>949</v>
      </c>
      <c r="C511" s="292" t="s">
        <v>91</v>
      </c>
      <c r="D511" s="291">
        <v>2027</v>
      </c>
      <c r="E511" s="292" t="s">
        <v>91</v>
      </c>
      <c r="T511" s="31">
        <v>165932</v>
      </c>
    </row>
    <row r="512" spans="1:20" ht="19">
      <c r="A512" s="182">
        <v>6502910</v>
      </c>
      <c r="B512" s="302" t="s">
        <v>950</v>
      </c>
      <c r="C512" s="292" t="s">
        <v>91</v>
      </c>
      <c r="D512" s="291">
        <v>2027</v>
      </c>
      <c r="E512" s="292" t="s">
        <v>91</v>
      </c>
      <c r="T512" s="31">
        <v>185642</v>
      </c>
    </row>
    <row r="513" spans="1:20" ht="19">
      <c r="A513" s="182">
        <v>6502562</v>
      </c>
      <c r="B513" s="302" t="s">
        <v>951</v>
      </c>
      <c r="C513" s="296" t="s">
        <v>91</v>
      </c>
      <c r="D513" s="291">
        <v>2027</v>
      </c>
      <c r="E513" s="296" t="s">
        <v>91</v>
      </c>
      <c r="T513" s="31">
        <v>120109</v>
      </c>
    </row>
    <row r="514" spans="1:20" ht="19">
      <c r="A514" s="182">
        <v>6505362</v>
      </c>
      <c r="B514" s="302" t="s">
        <v>952</v>
      </c>
      <c r="C514" s="182" t="s">
        <v>91</v>
      </c>
      <c r="D514" s="291">
        <v>2027</v>
      </c>
      <c r="E514" s="182" t="s">
        <v>91</v>
      </c>
      <c r="T514" s="31">
        <v>136007</v>
      </c>
    </row>
    <row r="515" spans="1:20" ht="19">
      <c r="A515" s="182">
        <v>6503611</v>
      </c>
      <c r="B515" s="302" t="s">
        <v>953</v>
      </c>
      <c r="C515" s="292" t="s">
        <v>268</v>
      </c>
      <c r="D515" s="291">
        <v>2027</v>
      </c>
      <c r="E515" s="292" t="s">
        <v>268</v>
      </c>
      <c r="T515" s="31">
        <v>130116</v>
      </c>
    </row>
    <row r="516" spans="1:20" ht="19">
      <c r="A516" s="182">
        <v>6505885</v>
      </c>
      <c r="B516" s="301" t="s">
        <v>954</v>
      </c>
      <c r="C516" s="296" t="s">
        <v>91</v>
      </c>
      <c r="D516" s="291">
        <v>2027</v>
      </c>
      <c r="E516" s="296" t="s">
        <v>91</v>
      </c>
      <c r="T516" s="31">
        <v>146319</v>
      </c>
    </row>
    <row r="517" spans="1:20" ht="19">
      <c r="A517" s="182">
        <v>6503234</v>
      </c>
      <c r="B517" s="301" t="s">
        <v>955</v>
      </c>
      <c r="C517" s="296" t="s">
        <v>91</v>
      </c>
      <c r="D517" s="291">
        <v>2027</v>
      </c>
      <c r="E517" s="296" t="s">
        <v>91</v>
      </c>
      <c r="T517" s="31">
        <v>166324</v>
      </c>
    </row>
    <row r="518" spans="1:20" ht="19">
      <c r="A518" s="182">
        <v>6508120</v>
      </c>
      <c r="B518" s="301" t="s">
        <v>956</v>
      </c>
      <c r="C518" s="296" t="s">
        <v>91</v>
      </c>
      <c r="D518" s="291">
        <v>2027</v>
      </c>
      <c r="E518" s="296" t="s">
        <v>91</v>
      </c>
      <c r="T518" s="31">
        <v>180420</v>
      </c>
    </row>
    <row r="519" spans="1:20" ht="19">
      <c r="A519" s="182">
        <v>6501248</v>
      </c>
      <c r="B519" s="301" t="s">
        <v>957</v>
      </c>
      <c r="C519" s="278" t="s">
        <v>91</v>
      </c>
      <c r="D519" s="291">
        <v>2027</v>
      </c>
      <c r="E519" s="278" t="s">
        <v>91</v>
      </c>
      <c r="T519" s="31">
        <v>180317</v>
      </c>
    </row>
    <row r="520" spans="1:20" ht="19">
      <c r="A520" s="182">
        <v>6501246</v>
      </c>
      <c r="B520" s="301" t="s">
        <v>958</v>
      </c>
      <c r="C520" s="278" t="s">
        <v>91</v>
      </c>
      <c r="D520" s="291">
        <v>2027</v>
      </c>
      <c r="E520" s="278" t="s">
        <v>91</v>
      </c>
      <c r="T520" s="31">
        <v>190315</v>
      </c>
    </row>
    <row r="521" spans="1:20" ht="19">
      <c r="A521" s="182">
        <v>6501247</v>
      </c>
      <c r="B521" s="301" t="s">
        <v>959</v>
      </c>
      <c r="C521" s="278" t="s">
        <v>91</v>
      </c>
      <c r="D521" s="291">
        <v>2027</v>
      </c>
      <c r="E521" s="278" t="s">
        <v>91</v>
      </c>
      <c r="T521" s="31">
        <v>190419</v>
      </c>
    </row>
    <row r="522" spans="1:20" ht="19">
      <c r="A522" s="182">
        <v>6505049</v>
      </c>
      <c r="B522" s="301" t="s">
        <v>960</v>
      </c>
      <c r="C522" s="296" t="s">
        <v>91</v>
      </c>
      <c r="D522" s="291">
        <v>2027</v>
      </c>
      <c r="E522" s="296" t="s">
        <v>91</v>
      </c>
      <c r="T522" s="31">
        <v>190415</v>
      </c>
    </row>
    <row r="523" spans="1:20" ht="19">
      <c r="A523" s="182">
        <v>6506948</v>
      </c>
      <c r="B523" s="301" t="s">
        <v>961</v>
      </c>
      <c r="C523" s="292" t="s">
        <v>90</v>
      </c>
      <c r="D523" s="291">
        <v>2027</v>
      </c>
      <c r="E523" s="292" t="s">
        <v>90</v>
      </c>
      <c r="T523" s="31">
        <v>170215</v>
      </c>
    </row>
    <row r="524" spans="1:20" ht="19">
      <c r="A524" s="182">
        <v>6507838</v>
      </c>
      <c r="B524" s="301" t="s">
        <v>962</v>
      </c>
      <c r="C524" s="278" t="s">
        <v>91</v>
      </c>
      <c r="D524" s="291">
        <v>2027</v>
      </c>
      <c r="E524" s="278" t="s">
        <v>91</v>
      </c>
      <c r="T524" s="31">
        <v>176229</v>
      </c>
    </row>
    <row r="525" spans="1:20" ht="19">
      <c r="A525" s="182">
        <v>6508210</v>
      </c>
      <c r="B525" s="301" t="s">
        <v>963</v>
      </c>
      <c r="C525" s="292" t="s">
        <v>268</v>
      </c>
      <c r="D525" s="291">
        <v>2027</v>
      </c>
      <c r="E525" s="292" t="s">
        <v>268</v>
      </c>
      <c r="T525" s="31">
        <v>186330</v>
      </c>
    </row>
    <row r="526" spans="1:20" ht="19">
      <c r="A526" s="182">
        <v>6504883</v>
      </c>
      <c r="B526" s="301" t="s">
        <v>964</v>
      </c>
      <c r="C526" s="296" t="s">
        <v>91</v>
      </c>
      <c r="D526" s="291">
        <v>2027</v>
      </c>
      <c r="E526" s="296" t="s">
        <v>91</v>
      </c>
      <c r="T526" s="31">
        <v>186320</v>
      </c>
    </row>
    <row r="527" spans="1:20" ht="19">
      <c r="A527" s="3">
        <v>6507231</v>
      </c>
      <c r="B527" s="301" t="s">
        <v>965</v>
      </c>
      <c r="C527" s="278" t="s">
        <v>268</v>
      </c>
      <c r="D527" s="291">
        <v>2027</v>
      </c>
      <c r="E527" s="278" t="s">
        <v>268</v>
      </c>
      <c r="T527" s="31">
        <v>180117</v>
      </c>
    </row>
    <row r="528" spans="1:20" ht="19">
      <c r="A528" s="278" t="s">
        <v>322</v>
      </c>
      <c r="B528" s="301" t="s">
        <v>966</v>
      </c>
      <c r="C528" s="278" t="s">
        <v>268</v>
      </c>
      <c r="D528" s="291">
        <v>2027</v>
      </c>
      <c r="E528" s="278" t="s">
        <v>268</v>
      </c>
      <c r="T528" s="31">
        <v>180108</v>
      </c>
    </row>
    <row r="529" spans="1:20" ht="19">
      <c r="A529" s="278" t="s">
        <v>323</v>
      </c>
      <c r="B529" s="301" t="s">
        <v>967</v>
      </c>
      <c r="C529" s="296" t="s">
        <v>91</v>
      </c>
      <c r="D529" s="291">
        <v>2027</v>
      </c>
      <c r="E529" s="296" t="s">
        <v>91</v>
      </c>
      <c r="T529" s="31">
        <v>170235</v>
      </c>
    </row>
    <row r="530" spans="1:20" ht="19">
      <c r="A530" s="278" t="s">
        <v>324</v>
      </c>
      <c r="B530" s="301" t="s">
        <v>968</v>
      </c>
      <c r="C530" s="181" t="s">
        <v>268</v>
      </c>
      <c r="D530" s="291">
        <v>2027</v>
      </c>
      <c r="E530" s="181" t="s">
        <v>268</v>
      </c>
      <c r="T530" s="31">
        <v>170230</v>
      </c>
    </row>
    <row r="531" spans="1:20" ht="19">
      <c r="A531" s="278" t="s">
        <v>325</v>
      </c>
      <c r="B531" s="301" t="s">
        <v>969</v>
      </c>
      <c r="C531" s="296" t="s">
        <v>91</v>
      </c>
      <c r="D531" s="291">
        <v>2027</v>
      </c>
      <c r="E531" s="296" t="s">
        <v>91</v>
      </c>
      <c r="T531" s="31">
        <v>170133</v>
      </c>
    </row>
    <row r="532" spans="1:20" ht="19">
      <c r="A532" s="278" t="s">
        <v>326</v>
      </c>
      <c r="B532" s="301" t="s">
        <v>970</v>
      </c>
      <c r="C532" s="182" t="s">
        <v>91</v>
      </c>
      <c r="D532" s="291">
        <v>2027</v>
      </c>
      <c r="E532" s="182" t="s">
        <v>91</v>
      </c>
      <c r="T532" s="31">
        <v>180130</v>
      </c>
    </row>
    <row r="533" spans="1:20" ht="19">
      <c r="A533" s="278" t="s">
        <v>327</v>
      </c>
      <c r="B533" s="301" t="s">
        <v>971</v>
      </c>
      <c r="C533" s="292" t="s">
        <v>268</v>
      </c>
      <c r="D533" s="291">
        <v>2027</v>
      </c>
      <c r="E533" s="292" t="s">
        <v>268</v>
      </c>
      <c r="T533" s="31">
        <v>180119</v>
      </c>
    </row>
    <row r="534" spans="1:20" ht="19">
      <c r="A534" s="278" t="s">
        <v>328</v>
      </c>
      <c r="B534" s="301" t="s">
        <v>972</v>
      </c>
      <c r="C534" s="182" t="s">
        <v>91</v>
      </c>
      <c r="D534" s="291">
        <v>2027</v>
      </c>
      <c r="E534" s="182" t="s">
        <v>91</v>
      </c>
      <c r="T534" s="31">
        <v>166116</v>
      </c>
    </row>
    <row r="535" spans="1:20" ht="19">
      <c r="A535" s="278" t="s">
        <v>329</v>
      </c>
      <c r="B535" s="301" t="s">
        <v>973</v>
      </c>
      <c r="C535" s="296" t="s">
        <v>91</v>
      </c>
      <c r="D535" s="291">
        <v>2027</v>
      </c>
      <c r="E535" s="296" t="s">
        <v>91</v>
      </c>
      <c r="T535" s="31">
        <v>176319</v>
      </c>
    </row>
    <row r="536" spans="1:20" ht="19">
      <c r="A536" s="278" t="s">
        <v>330</v>
      </c>
      <c r="B536" s="301" t="s">
        <v>974</v>
      </c>
      <c r="C536" s="296" t="s">
        <v>91</v>
      </c>
      <c r="D536" s="291">
        <v>2027</v>
      </c>
      <c r="E536" s="296" t="s">
        <v>91</v>
      </c>
      <c r="T536" s="31">
        <v>170123</v>
      </c>
    </row>
    <row r="537" spans="1:20" ht="19">
      <c r="A537" s="278" t="s">
        <v>331</v>
      </c>
      <c r="B537" s="301" t="s">
        <v>975</v>
      </c>
      <c r="C537" s="296" t="s">
        <v>91</v>
      </c>
      <c r="D537" s="291">
        <v>2027</v>
      </c>
      <c r="E537" s="296" t="s">
        <v>91</v>
      </c>
      <c r="T537" s="31">
        <v>180110</v>
      </c>
    </row>
    <row r="538" spans="1:20" ht="19">
      <c r="A538" s="278" t="s">
        <v>333</v>
      </c>
      <c r="B538" s="301" t="s">
        <v>976</v>
      </c>
      <c r="C538" s="296" t="s">
        <v>91</v>
      </c>
      <c r="D538" s="291">
        <v>2027</v>
      </c>
      <c r="E538" s="296" t="s">
        <v>91</v>
      </c>
      <c r="T538" s="31">
        <v>176219</v>
      </c>
    </row>
    <row r="539" spans="1:20" ht="19">
      <c r="A539" s="278" t="s">
        <v>335</v>
      </c>
      <c r="B539" s="301" t="s">
        <v>977</v>
      </c>
      <c r="C539" s="296" t="s">
        <v>91</v>
      </c>
      <c r="D539" s="291">
        <v>2027</v>
      </c>
      <c r="E539" s="296" t="s">
        <v>91</v>
      </c>
      <c r="T539" s="31">
        <v>160220</v>
      </c>
    </row>
    <row r="540" spans="1:20" ht="19">
      <c r="A540" s="278" t="s">
        <v>337</v>
      </c>
      <c r="B540" s="301" t="s">
        <v>978</v>
      </c>
      <c r="C540" s="296" t="s">
        <v>91</v>
      </c>
      <c r="D540" s="291">
        <v>2027</v>
      </c>
      <c r="E540" s="296" t="s">
        <v>91</v>
      </c>
      <c r="T540" s="31">
        <v>166216</v>
      </c>
    </row>
    <row r="541" spans="1:20" ht="19">
      <c r="A541" s="278" t="s">
        <v>339</v>
      </c>
      <c r="B541" s="301" t="s">
        <v>979</v>
      </c>
      <c r="C541" s="292" t="s">
        <v>91</v>
      </c>
      <c r="D541" s="291">
        <v>2027</v>
      </c>
      <c r="E541" s="292" t="s">
        <v>91</v>
      </c>
      <c r="T541" s="31">
        <v>166318</v>
      </c>
    </row>
    <row r="542" spans="1:20" ht="19">
      <c r="A542" s="278" t="s">
        <v>340</v>
      </c>
      <c r="B542" s="301" t="s">
        <v>980</v>
      </c>
      <c r="C542" s="292" t="s">
        <v>91</v>
      </c>
      <c r="D542" s="291">
        <v>2027</v>
      </c>
      <c r="E542" s="292" t="s">
        <v>91</v>
      </c>
      <c r="T542" s="31">
        <v>160224</v>
      </c>
    </row>
    <row r="543" spans="1:20" ht="19">
      <c r="A543" s="278" t="s">
        <v>341</v>
      </c>
      <c r="B543" s="301" t="s">
        <v>981</v>
      </c>
      <c r="C543" s="292" t="s">
        <v>91</v>
      </c>
      <c r="D543" s="291">
        <v>2027</v>
      </c>
      <c r="E543" s="292" t="s">
        <v>91</v>
      </c>
      <c r="T543" s="31">
        <v>170119</v>
      </c>
    </row>
    <row r="544" spans="1:20" ht="19">
      <c r="A544" s="278" t="s">
        <v>342</v>
      </c>
      <c r="B544" s="301" t="s">
        <v>982</v>
      </c>
      <c r="C544" s="292" t="s">
        <v>91</v>
      </c>
      <c r="D544" s="291">
        <v>2027</v>
      </c>
      <c r="E544" s="292" t="s">
        <v>91</v>
      </c>
      <c r="T544" s="31">
        <v>170220</v>
      </c>
    </row>
    <row r="545" spans="1:20" ht="19">
      <c r="A545" s="278" t="s">
        <v>344</v>
      </c>
      <c r="B545" s="301" t="s">
        <v>983</v>
      </c>
      <c r="C545" s="296" t="s">
        <v>91</v>
      </c>
      <c r="D545" s="291">
        <v>2027</v>
      </c>
      <c r="E545" s="296" t="s">
        <v>91</v>
      </c>
      <c r="T545" s="31">
        <v>180121</v>
      </c>
    </row>
    <row r="546" spans="1:20" ht="19">
      <c r="A546" s="278" t="s">
        <v>345</v>
      </c>
      <c r="B546" s="305" t="s">
        <v>984</v>
      </c>
      <c r="C546" s="182" t="s">
        <v>91</v>
      </c>
      <c r="D546" s="291">
        <v>2027</v>
      </c>
      <c r="E546" s="182" t="s">
        <v>91</v>
      </c>
      <c r="T546" s="31">
        <v>136008</v>
      </c>
    </row>
    <row r="547" spans="1:20" ht="15">
      <c r="A547" s="278" t="s">
        <v>346</v>
      </c>
      <c r="B547" s="179"/>
      <c r="C547" s="182"/>
      <c r="D547" s="179"/>
      <c r="E547" s="286"/>
      <c r="T547" s="31">
        <v>145707</v>
      </c>
    </row>
    <row r="548" spans="1:20" ht="15">
      <c r="A548" s="278" t="s">
        <v>348</v>
      </c>
      <c r="B548" s="179"/>
      <c r="C548" s="182"/>
      <c r="D548" s="179"/>
      <c r="E548" s="286"/>
      <c r="T548" s="31">
        <v>136105</v>
      </c>
    </row>
    <row r="549" spans="1:20" ht="15">
      <c r="A549" s="278" t="s">
        <v>349</v>
      </c>
      <c r="B549" s="179"/>
      <c r="C549" s="182"/>
      <c r="D549" s="179"/>
      <c r="E549" s="286"/>
      <c r="T549" s="31">
        <v>130107</v>
      </c>
    </row>
    <row r="550" spans="1:20" ht="15">
      <c r="A550" s="278" t="s">
        <v>350</v>
      </c>
      <c r="B550" s="179"/>
      <c r="C550" s="182"/>
      <c r="D550" s="179"/>
      <c r="E550" s="179"/>
      <c r="T550" s="31">
        <v>146312</v>
      </c>
    </row>
    <row r="551" spans="1:20" ht="15">
      <c r="A551" s="278" t="s">
        <v>352</v>
      </c>
      <c r="B551" s="179"/>
      <c r="C551" s="182"/>
      <c r="D551" s="179"/>
      <c r="E551" s="286"/>
      <c r="T551" s="31">
        <v>166008</v>
      </c>
    </row>
    <row r="552" spans="1:20" ht="15">
      <c r="A552" s="278" t="s">
        <v>354</v>
      </c>
      <c r="B552" s="179"/>
      <c r="C552" s="182"/>
      <c r="D552" s="179"/>
      <c r="E552" s="286"/>
      <c r="T552" s="31">
        <v>176206</v>
      </c>
    </row>
    <row r="553" spans="1:20" ht="15">
      <c r="A553" s="278" t="s">
        <v>356</v>
      </c>
      <c r="B553" s="179"/>
      <c r="C553" s="182"/>
      <c r="D553" s="179"/>
      <c r="E553" s="286"/>
      <c r="T553" s="31">
        <v>126206</v>
      </c>
    </row>
    <row r="554" spans="1:20" ht="15">
      <c r="A554" s="278" t="s">
        <v>358</v>
      </c>
      <c r="B554" s="179"/>
      <c r="C554" s="182"/>
      <c r="D554" s="179"/>
      <c r="E554" s="286"/>
      <c r="T554" s="31">
        <v>110304</v>
      </c>
    </row>
    <row r="555" spans="1:20" ht="15">
      <c r="A555" s="278" t="s">
        <v>359</v>
      </c>
      <c r="B555" s="179"/>
      <c r="C555" s="182"/>
      <c r="D555" s="179"/>
      <c r="E555" s="286"/>
      <c r="T555" s="31">
        <v>120108</v>
      </c>
    </row>
    <row r="556" spans="1:20" ht="15">
      <c r="A556" s="278" t="s">
        <v>360</v>
      </c>
      <c r="B556" s="179"/>
      <c r="C556" s="182"/>
      <c r="D556" s="179"/>
      <c r="E556" s="286"/>
      <c r="T556" s="31">
        <v>136006</v>
      </c>
    </row>
    <row r="557" spans="1:20" ht="15">
      <c r="A557" s="278" t="s">
        <v>361</v>
      </c>
      <c r="B557" s="179"/>
      <c r="C557" s="182"/>
      <c r="D557" s="179"/>
      <c r="E557" s="286"/>
      <c r="T557" s="31">
        <v>136106</v>
      </c>
    </row>
    <row r="558" spans="1:20" ht="15">
      <c r="A558" s="278" t="s">
        <v>363</v>
      </c>
      <c r="B558" s="179"/>
      <c r="C558" s="182"/>
      <c r="D558" s="179"/>
      <c r="E558" s="286"/>
      <c r="T558" s="31">
        <v>136108</v>
      </c>
    </row>
    <row r="559" spans="1:20" ht="15">
      <c r="A559" s="278" t="s">
        <v>364</v>
      </c>
      <c r="B559" s="179"/>
      <c r="C559" s="182"/>
      <c r="D559" s="179"/>
      <c r="E559" s="286"/>
      <c r="T559" s="31">
        <v>144505</v>
      </c>
    </row>
    <row r="560" spans="1:20" ht="15">
      <c r="A560" s="278" t="s">
        <v>365</v>
      </c>
      <c r="B560" s="179"/>
      <c r="C560" s="182"/>
      <c r="D560" s="179"/>
      <c r="E560" s="286"/>
      <c r="T560" s="31">
        <v>144502</v>
      </c>
    </row>
    <row r="561" spans="1:20" ht="15">
      <c r="A561" s="278" t="s">
        <v>367</v>
      </c>
      <c r="B561" s="179"/>
      <c r="C561" s="182"/>
      <c r="D561" s="179"/>
      <c r="E561" s="286"/>
      <c r="T561" s="31">
        <v>155704</v>
      </c>
    </row>
    <row r="562" spans="1:20" ht="15">
      <c r="A562" s="278" t="s">
        <v>368</v>
      </c>
      <c r="B562" s="179"/>
      <c r="C562" s="182"/>
      <c r="D562" s="179"/>
      <c r="E562" s="286"/>
      <c r="T562" s="31">
        <v>155205</v>
      </c>
    </row>
    <row r="563" spans="1:20" ht="15">
      <c r="A563" s="278" t="s">
        <v>369</v>
      </c>
      <c r="B563" s="179"/>
      <c r="C563" s="182"/>
      <c r="D563" s="179"/>
      <c r="E563" s="179"/>
      <c r="T563" s="31">
        <v>180312</v>
      </c>
    </row>
    <row r="564" spans="1:20" ht="15">
      <c r="A564" s="278" t="s">
        <v>370</v>
      </c>
      <c r="B564" s="179"/>
      <c r="C564" s="182"/>
      <c r="D564" s="179"/>
      <c r="E564" s="179"/>
      <c r="T564" s="31">
        <v>190309</v>
      </c>
    </row>
    <row r="565" spans="1:20" ht="15">
      <c r="A565" s="278" t="s">
        <v>372</v>
      </c>
      <c r="B565" s="179"/>
      <c r="C565" s="182"/>
      <c r="D565" s="179"/>
      <c r="E565" s="286"/>
      <c r="T565" s="31">
        <v>196110</v>
      </c>
    </row>
    <row r="566" spans="1:20" ht="15">
      <c r="A566" s="278" t="s">
        <v>373</v>
      </c>
      <c r="B566" s="179"/>
      <c r="C566" s="182"/>
      <c r="D566" s="179"/>
      <c r="E566" s="286"/>
      <c r="T566" s="31">
        <v>190414</v>
      </c>
    </row>
    <row r="567" spans="1:20" ht="15">
      <c r="A567" s="278" t="s">
        <v>374</v>
      </c>
      <c r="B567" s="179"/>
      <c r="C567" s="182"/>
      <c r="D567" s="179"/>
      <c r="E567" s="286"/>
      <c r="T567" s="31">
        <v>195411</v>
      </c>
    </row>
    <row r="568" spans="1:20" ht="15">
      <c r="A568" s="278" t="s">
        <v>375</v>
      </c>
      <c r="B568" s="179"/>
      <c r="C568" s="182"/>
      <c r="D568" s="179"/>
      <c r="E568" s="286"/>
      <c r="T568" s="31">
        <v>185913</v>
      </c>
    </row>
    <row r="569" spans="1:20" ht="15">
      <c r="A569" s="278" t="s">
        <v>376</v>
      </c>
      <c r="B569" s="179"/>
      <c r="C569" s="182"/>
      <c r="D569" s="180"/>
      <c r="E569" s="286"/>
      <c r="T569" s="31">
        <v>195914</v>
      </c>
    </row>
    <row r="570" spans="1:20" ht="15">
      <c r="A570" s="278" t="s">
        <v>377</v>
      </c>
      <c r="B570" s="179"/>
      <c r="C570" s="182"/>
      <c r="D570" s="179"/>
      <c r="E570" s="286"/>
      <c r="T570" s="31">
        <v>195917</v>
      </c>
    </row>
    <row r="571" spans="1:20" ht="15">
      <c r="A571" s="278" t="s">
        <v>378</v>
      </c>
      <c r="B571" s="179"/>
      <c r="C571" s="182"/>
      <c r="D571" s="179"/>
      <c r="E571" s="286"/>
      <c r="T571" s="31">
        <v>194906</v>
      </c>
    </row>
    <row r="572" spans="1:20" ht="15">
      <c r="A572" s="278" t="s">
        <v>379</v>
      </c>
      <c r="B572" s="179"/>
      <c r="C572" s="182"/>
      <c r="D572" s="179"/>
      <c r="E572" s="286"/>
      <c r="T572" s="31">
        <v>176212</v>
      </c>
    </row>
    <row r="573" spans="1:20" ht="15">
      <c r="A573" s="278" t="s">
        <v>381</v>
      </c>
      <c r="B573" s="179"/>
      <c r="C573" s="182"/>
      <c r="D573" s="179"/>
      <c r="E573" s="286"/>
      <c r="T573" s="31">
        <v>186011</v>
      </c>
    </row>
    <row r="574" spans="1:20" ht="15">
      <c r="A574" s="278" t="s">
        <v>383</v>
      </c>
      <c r="B574" s="179"/>
      <c r="C574" s="182"/>
      <c r="D574" s="179"/>
      <c r="E574" s="286"/>
      <c r="T574" s="31">
        <v>185621</v>
      </c>
    </row>
    <row r="575" spans="1:20" ht="15">
      <c r="A575" s="278" t="s">
        <v>384</v>
      </c>
      <c r="B575" s="179"/>
      <c r="C575" s="182"/>
      <c r="D575" s="179"/>
      <c r="E575" s="286"/>
      <c r="T575" s="31">
        <v>195511</v>
      </c>
    </row>
    <row r="576" spans="1:20" ht="15">
      <c r="A576" s="278" t="s">
        <v>385</v>
      </c>
      <c r="B576" s="179"/>
      <c r="C576" s="182"/>
      <c r="D576" s="179"/>
      <c r="E576" s="286"/>
      <c r="T576" s="31">
        <v>195513</v>
      </c>
    </row>
    <row r="577" spans="1:20" ht="15">
      <c r="A577" s="278" t="s">
        <v>387</v>
      </c>
      <c r="B577" s="179"/>
      <c r="C577" s="182"/>
      <c r="D577" s="179"/>
      <c r="E577" s="286"/>
      <c r="T577" s="31">
        <v>165820</v>
      </c>
    </row>
    <row r="578" spans="1:20" ht="15">
      <c r="A578" s="278" t="s">
        <v>389</v>
      </c>
      <c r="B578" s="179"/>
      <c r="C578" s="182"/>
      <c r="D578" s="179"/>
      <c r="E578" s="286"/>
      <c r="T578" s="31">
        <v>186216</v>
      </c>
    </row>
    <row r="579" spans="1:20" ht="15">
      <c r="A579" s="278" t="s">
        <v>390</v>
      </c>
      <c r="B579" s="179"/>
      <c r="C579" s="182"/>
      <c r="D579" s="179"/>
      <c r="E579" s="179"/>
      <c r="T579" s="31">
        <v>186018</v>
      </c>
    </row>
    <row r="580" spans="1:20" ht="15">
      <c r="A580" s="278" t="s">
        <v>392</v>
      </c>
      <c r="B580" s="179"/>
      <c r="C580" s="182"/>
      <c r="D580" s="179"/>
      <c r="E580" s="286"/>
      <c r="T580" s="31">
        <v>186114</v>
      </c>
    </row>
    <row r="581" spans="1:20" ht="15">
      <c r="A581" s="278" t="s">
        <v>394</v>
      </c>
      <c r="B581" s="179"/>
      <c r="C581" s="182"/>
      <c r="D581" s="179"/>
      <c r="E581" s="286"/>
      <c r="T581" s="31">
        <v>185616</v>
      </c>
    </row>
    <row r="582" spans="1:20" ht="15">
      <c r="A582" s="278" t="s">
        <v>396</v>
      </c>
      <c r="B582" s="179"/>
      <c r="C582" s="181"/>
      <c r="D582" s="179"/>
      <c r="E582" s="286"/>
      <c r="T582" s="31">
        <v>195920</v>
      </c>
    </row>
    <row r="583" spans="1:20" ht="15">
      <c r="A583" s="278" t="s">
        <v>398</v>
      </c>
      <c r="B583" s="179"/>
      <c r="C583" s="181"/>
      <c r="D583" s="179"/>
      <c r="E583" s="286"/>
      <c r="T583" s="31">
        <v>145706</v>
      </c>
    </row>
    <row r="584" spans="1:20" ht="15">
      <c r="A584" s="278" t="s">
        <v>399</v>
      </c>
      <c r="B584" s="179"/>
      <c r="C584" s="181"/>
      <c r="D584" s="179"/>
      <c r="E584" s="286"/>
      <c r="T584" s="31">
        <v>165808</v>
      </c>
    </row>
    <row r="585" spans="1:20" ht="15">
      <c r="A585" s="278" t="s">
        <v>400</v>
      </c>
      <c r="B585" s="179"/>
      <c r="C585" s="182"/>
      <c r="D585" s="179"/>
      <c r="E585" s="286"/>
      <c r="T585" s="31">
        <v>165810</v>
      </c>
    </row>
    <row r="586" spans="1:20" ht="15">
      <c r="A586" s="278" t="s">
        <v>401</v>
      </c>
      <c r="B586" s="179"/>
      <c r="C586" s="181"/>
      <c r="D586" s="179"/>
      <c r="E586" s="286"/>
      <c r="T586" s="31">
        <v>165807</v>
      </c>
    </row>
    <row r="587" spans="1:20" ht="15">
      <c r="A587" s="278" t="s">
        <v>403</v>
      </c>
      <c r="B587" s="179"/>
      <c r="C587" s="181"/>
      <c r="D587" s="179"/>
      <c r="E587" s="286"/>
      <c r="T587" s="31">
        <v>176009</v>
      </c>
    </row>
    <row r="588" spans="1:20" ht="15">
      <c r="A588" s="278" t="s">
        <v>404</v>
      </c>
      <c r="B588" s="179"/>
      <c r="C588" s="181"/>
      <c r="D588" s="179"/>
      <c r="E588" s="286"/>
      <c r="T588" s="31">
        <v>175638</v>
      </c>
    </row>
    <row r="589" spans="1:20" ht="15">
      <c r="A589" s="278" t="s">
        <v>405</v>
      </c>
      <c r="B589" s="179"/>
      <c r="C589" s="181"/>
      <c r="D589" s="179"/>
      <c r="E589" s="286"/>
      <c r="T589" s="31">
        <v>175641</v>
      </c>
    </row>
    <row r="590" spans="1:20" ht="15">
      <c r="A590" s="278" t="s">
        <v>407</v>
      </c>
      <c r="B590" s="179"/>
      <c r="C590" s="181"/>
      <c r="D590" s="179"/>
      <c r="E590" s="286"/>
      <c r="T590" s="31">
        <v>175734</v>
      </c>
    </row>
    <row r="591" spans="1:20" ht="15">
      <c r="A591" s="278" t="s">
        <v>408</v>
      </c>
      <c r="B591" s="179"/>
      <c r="C591" s="181"/>
      <c r="D591" s="179"/>
      <c r="E591" s="286"/>
      <c r="T591" s="31">
        <v>145721</v>
      </c>
    </row>
    <row r="592" spans="1:20" ht="15">
      <c r="A592" s="278" t="s">
        <v>409</v>
      </c>
      <c r="B592" s="179"/>
      <c r="C592" s="181"/>
      <c r="D592" s="179"/>
      <c r="E592" s="179"/>
      <c r="T592" s="31">
        <v>165533</v>
      </c>
    </row>
    <row r="593" spans="1:20" ht="15">
      <c r="A593" s="278" t="s">
        <v>411</v>
      </c>
      <c r="B593" s="179"/>
      <c r="C593" s="181"/>
      <c r="D593" s="179"/>
      <c r="E593" s="286"/>
      <c r="T593" s="31">
        <v>175430</v>
      </c>
    </row>
    <row r="594" spans="1:20" ht="15">
      <c r="A594" s="278" t="s">
        <v>413</v>
      </c>
      <c r="B594" s="179"/>
      <c r="C594" s="181"/>
      <c r="D594" s="179"/>
      <c r="E594" s="286"/>
      <c r="T594" s="31">
        <v>125408</v>
      </c>
    </row>
    <row r="595" spans="1:20" ht="15">
      <c r="A595" s="278" t="s">
        <v>415</v>
      </c>
      <c r="B595" s="179"/>
      <c r="C595" s="181"/>
      <c r="D595" s="179"/>
      <c r="E595" s="286"/>
      <c r="T595" s="31">
        <v>135414</v>
      </c>
    </row>
    <row r="596" spans="1:20" ht="15">
      <c r="A596" s="278" t="s">
        <v>417</v>
      </c>
      <c r="B596" s="179"/>
      <c r="C596" s="181"/>
      <c r="D596" s="179"/>
      <c r="E596" s="286"/>
      <c r="T596" s="31">
        <v>155416</v>
      </c>
    </row>
    <row r="597" spans="1:20" ht="15">
      <c r="A597" s="278" t="s">
        <v>418</v>
      </c>
      <c r="B597" s="179"/>
      <c r="C597" s="181"/>
      <c r="D597" s="179"/>
      <c r="E597" s="286"/>
      <c r="T597" s="31">
        <v>136009</v>
      </c>
    </row>
    <row r="598" spans="1:20" ht="15">
      <c r="A598" s="278" t="s">
        <v>419</v>
      </c>
      <c r="B598" s="179"/>
      <c r="C598" s="181"/>
      <c r="D598" s="179"/>
      <c r="E598" s="286"/>
      <c r="T598" s="31">
        <v>155819</v>
      </c>
    </row>
    <row r="599" spans="1:20" ht="15">
      <c r="A599" s="278" t="s">
        <v>420</v>
      </c>
      <c r="B599" s="179"/>
      <c r="C599" s="181"/>
      <c r="D599" s="179"/>
      <c r="E599" s="286"/>
      <c r="T599" s="31">
        <v>185410</v>
      </c>
    </row>
    <row r="600" spans="1:20" ht="15">
      <c r="A600" s="278" t="s">
        <v>422</v>
      </c>
      <c r="B600" s="179"/>
      <c r="C600" s="181"/>
      <c r="D600" s="179"/>
      <c r="E600" s="286"/>
      <c r="T600" s="31">
        <v>195408</v>
      </c>
    </row>
    <row r="601" spans="1:20" ht="15">
      <c r="A601" s="278" t="s">
        <v>423</v>
      </c>
      <c r="B601" s="179"/>
      <c r="C601" s="181"/>
      <c r="D601" s="179"/>
      <c r="E601" s="286"/>
      <c r="T601" s="31">
        <v>195413</v>
      </c>
    </row>
    <row r="602" spans="1:20" ht="15">
      <c r="A602" s="278" t="s">
        <v>424</v>
      </c>
      <c r="B602" s="179"/>
      <c r="C602" s="181"/>
      <c r="D602" s="179"/>
      <c r="E602" s="286"/>
      <c r="T602" s="31">
        <v>185315</v>
      </c>
    </row>
    <row r="603" spans="1:20" ht="15">
      <c r="A603" s="278" t="s">
        <v>426</v>
      </c>
      <c r="B603" s="179"/>
      <c r="C603" s="181"/>
      <c r="D603" s="179"/>
      <c r="E603" s="286"/>
      <c r="T603" s="31">
        <v>195414</v>
      </c>
    </row>
    <row r="604" spans="1:20" ht="15">
      <c r="A604" s="278" t="s">
        <v>427</v>
      </c>
      <c r="B604" s="179"/>
      <c r="C604" s="181"/>
      <c r="D604" s="179"/>
      <c r="E604" s="286"/>
      <c r="T604" s="31">
        <v>185618</v>
      </c>
    </row>
    <row r="605" spans="1:20" ht="15">
      <c r="A605" s="278" t="s">
        <v>428</v>
      </c>
      <c r="B605" s="179"/>
      <c r="C605" s="181"/>
      <c r="D605" s="179"/>
      <c r="E605" s="179"/>
      <c r="T605" s="31">
        <v>194922</v>
      </c>
    </row>
    <row r="606" spans="1:20" ht="15">
      <c r="A606" s="278" t="s">
        <v>430</v>
      </c>
      <c r="B606" s="179"/>
      <c r="C606" s="181"/>
      <c r="D606" s="179"/>
      <c r="E606" s="286"/>
      <c r="T606" s="31">
        <v>184728</v>
      </c>
    </row>
    <row r="607" spans="1:20" ht="15">
      <c r="A607" s="278" t="s">
        <v>432</v>
      </c>
      <c r="B607" s="179"/>
      <c r="C607" s="181"/>
      <c r="D607" s="179"/>
      <c r="E607" s="286"/>
      <c r="T607" s="31">
        <v>184834</v>
      </c>
    </row>
    <row r="608" spans="1:20" ht="15">
      <c r="A608" s="278" t="s">
        <v>434</v>
      </c>
      <c r="B608" s="179"/>
      <c r="C608" s="181"/>
      <c r="D608" s="179"/>
      <c r="E608" s="286"/>
      <c r="T608" s="31">
        <v>165112</v>
      </c>
    </row>
    <row r="609" spans="1:20" ht="15">
      <c r="A609" s="278" t="s">
        <v>436</v>
      </c>
      <c r="B609" s="179"/>
      <c r="C609" s="181"/>
      <c r="D609" s="179"/>
      <c r="E609" s="286"/>
      <c r="T609" s="31">
        <v>165412</v>
      </c>
    </row>
    <row r="610" spans="1:20" ht="15">
      <c r="A610" s="278" t="s">
        <v>437</v>
      </c>
      <c r="B610" s="179"/>
      <c r="C610" s="182"/>
      <c r="D610" s="179"/>
      <c r="E610" s="286"/>
      <c r="T610" s="31">
        <v>165119</v>
      </c>
    </row>
    <row r="611" spans="1:20" ht="15">
      <c r="A611" s="278" t="s">
        <v>438</v>
      </c>
      <c r="B611" s="179"/>
      <c r="C611" s="182"/>
      <c r="D611" s="179"/>
      <c r="E611" s="286"/>
      <c r="T611" s="31">
        <v>175122</v>
      </c>
    </row>
    <row r="612" spans="1:20" ht="15">
      <c r="A612" s="278" t="s">
        <v>439</v>
      </c>
      <c r="B612" s="179"/>
      <c r="C612" s="182"/>
      <c r="D612" s="179"/>
      <c r="E612" s="286"/>
      <c r="T612" s="31">
        <v>175117</v>
      </c>
    </row>
    <row r="613" spans="1:20" ht="15">
      <c r="A613" s="278" t="s">
        <v>441</v>
      </c>
      <c r="B613" s="179"/>
      <c r="C613" s="182"/>
      <c r="D613" s="179"/>
      <c r="E613" s="286"/>
      <c r="T613" s="31">
        <v>185121</v>
      </c>
    </row>
    <row r="614" spans="1:20" ht="15">
      <c r="A614" s="278" t="s">
        <v>442</v>
      </c>
      <c r="B614" s="179"/>
      <c r="C614" s="182"/>
      <c r="D614" s="179"/>
      <c r="E614" s="286"/>
      <c r="T614" s="31">
        <v>185115</v>
      </c>
    </row>
    <row r="615" spans="1:20" ht="15">
      <c r="A615" s="278" t="s">
        <v>443</v>
      </c>
      <c r="B615" s="179"/>
      <c r="C615" s="182"/>
      <c r="D615" s="179"/>
      <c r="E615" s="286"/>
      <c r="T615" s="31">
        <v>165721</v>
      </c>
    </row>
    <row r="616" spans="1:20" ht="15">
      <c r="A616" s="278" t="s">
        <v>445</v>
      </c>
      <c r="B616" s="179"/>
      <c r="C616" s="181"/>
      <c r="D616" s="179"/>
      <c r="E616" s="286"/>
      <c r="T616" s="31">
        <v>175528</v>
      </c>
    </row>
    <row r="617" spans="1:20" ht="15">
      <c r="A617" s="278" t="s">
        <v>446</v>
      </c>
      <c r="B617" s="179"/>
      <c r="C617" s="182"/>
      <c r="D617" s="179"/>
      <c r="E617" s="286"/>
      <c r="T617" s="31">
        <v>185619</v>
      </c>
    </row>
    <row r="618" spans="1:20" ht="15">
      <c r="A618" s="278" t="s">
        <v>447</v>
      </c>
      <c r="B618" s="179"/>
      <c r="C618" s="181"/>
      <c r="D618" s="179"/>
      <c r="E618" s="286"/>
      <c r="T618" s="31">
        <v>185620</v>
      </c>
    </row>
    <row r="619" spans="1:20" ht="15">
      <c r="A619" s="278" t="s">
        <v>448</v>
      </c>
      <c r="B619" s="179"/>
      <c r="C619" s="181"/>
      <c r="D619" s="179"/>
      <c r="E619" s="286"/>
      <c r="T619" s="31">
        <v>185322</v>
      </c>
    </row>
    <row r="620" spans="1:20" ht="15">
      <c r="A620" s="278" t="s">
        <v>450</v>
      </c>
      <c r="B620" s="179"/>
      <c r="C620" s="181"/>
      <c r="D620" s="179"/>
      <c r="E620" s="286"/>
      <c r="T620" s="31">
        <v>165109</v>
      </c>
    </row>
    <row r="621" spans="1:20" ht="15">
      <c r="A621" s="278" t="s">
        <v>452</v>
      </c>
      <c r="B621" s="179"/>
      <c r="C621" s="181"/>
      <c r="D621" s="179"/>
      <c r="E621" s="286"/>
      <c r="T621" s="31">
        <v>165515</v>
      </c>
    </row>
    <row r="622" spans="1:20" ht="15">
      <c r="A622" s="278" t="s">
        <v>454</v>
      </c>
      <c r="B622" s="179"/>
      <c r="C622" s="181"/>
      <c r="D622" s="180"/>
      <c r="E622" s="286"/>
      <c r="T622" s="31">
        <v>185725</v>
      </c>
    </row>
    <row r="623" spans="1:20" ht="15">
      <c r="A623" s="278" t="s">
        <v>456</v>
      </c>
      <c r="B623" s="179"/>
      <c r="C623" s="181"/>
      <c r="D623" s="179"/>
      <c r="E623" s="286"/>
      <c r="T623" s="31">
        <v>185418</v>
      </c>
    </row>
    <row r="624" spans="1:20" ht="15">
      <c r="A624" s="278" t="s">
        <v>458</v>
      </c>
      <c r="B624" s="179"/>
      <c r="C624" s="181"/>
      <c r="D624" s="179"/>
      <c r="E624" s="179"/>
      <c r="T624" s="31">
        <v>165425</v>
      </c>
    </row>
    <row r="625" spans="1:20" ht="15">
      <c r="A625" s="278" t="s">
        <v>460</v>
      </c>
      <c r="B625" s="179"/>
      <c r="C625" s="181"/>
      <c r="D625" s="179"/>
      <c r="E625" s="286"/>
      <c r="T625" s="31">
        <v>175130</v>
      </c>
    </row>
    <row r="626" spans="1:20" ht="15">
      <c r="A626" s="278" t="s">
        <v>462</v>
      </c>
      <c r="B626" s="179"/>
      <c r="C626" s="181"/>
      <c r="D626" s="179"/>
      <c r="E626" s="286"/>
      <c r="T626" s="31">
        <v>175024</v>
      </c>
    </row>
    <row r="627" spans="1:20" ht="15">
      <c r="A627" s="278" t="s">
        <v>463</v>
      </c>
      <c r="B627" s="179"/>
      <c r="C627" s="181"/>
      <c r="D627" s="179"/>
      <c r="E627" s="179"/>
      <c r="T627" s="31">
        <v>155519</v>
      </c>
    </row>
    <row r="628" spans="1:20" ht="15">
      <c r="A628" s="278" t="s">
        <v>465</v>
      </c>
      <c r="B628" s="179"/>
      <c r="C628" s="181"/>
      <c r="D628" s="179"/>
      <c r="E628" s="286"/>
      <c r="T628" s="31">
        <v>155516</v>
      </c>
    </row>
    <row r="629" spans="1:20" ht="15">
      <c r="A629" s="278" t="s">
        <v>467</v>
      </c>
      <c r="B629" s="179"/>
      <c r="C629" s="181"/>
      <c r="D629" s="179"/>
      <c r="E629" s="286"/>
      <c r="T629" s="31">
        <v>165418</v>
      </c>
    </row>
    <row r="630" spans="1:20" ht="15">
      <c r="A630" s="278" t="s">
        <v>469</v>
      </c>
      <c r="B630" s="179"/>
      <c r="C630" s="181"/>
      <c r="D630" s="179"/>
      <c r="E630" s="286"/>
      <c r="T630" s="31">
        <v>165422</v>
      </c>
    </row>
    <row r="631" spans="1:20" ht="15">
      <c r="A631" s="278" t="s">
        <v>471</v>
      </c>
      <c r="B631" s="179"/>
      <c r="C631" s="181"/>
      <c r="D631" s="179"/>
      <c r="E631" s="286"/>
      <c r="T631" s="31">
        <v>175421</v>
      </c>
    </row>
    <row r="632" spans="1:20" ht="15">
      <c r="A632" s="278" t="s">
        <v>472</v>
      </c>
      <c r="B632" s="179"/>
      <c r="C632" s="181"/>
      <c r="D632" s="179"/>
      <c r="E632" s="286"/>
      <c r="T632" s="31">
        <v>185128</v>
      </c>
    </row>
    <row r="633" spans="1:20" ht="15">
      <c r="A633" s="278" t="s">
        <v>473</v>
      </c>
      <c r="B633" s="179"/>
      <c r="C633" s="181"/>
      <c r="D633" s="179"/>
      <c r="E633" s="286"/>
      <c r="T633" s="31">
        <v>165127</v>
      </c>
    </row>
    <row r="634" spans="1:20" ht="15">
      <c r="A634" s="278" t="s">
        <v>474</v>
      </c>
      <c r="B634" s="180"/>
      <c r="C634" s="180"/>
      <c r="D634" s="179"/>
      <c r="E634" s="286"/>
      <c r="T634" s="31">
        <v>175025</v>
      </c>
    </row>
    <row r="635" spans="1:20" ht="15">
      <c r="A635" s="278" t="s">
        <v>476</v>
      </c>
      <c r="B635" s="179"/>
      <c r="C635" s="181"/>
      <c r="D635" s="179"/>
      <c r="E635" s="286"/>
      <c r="T635" s="31">
        <v>175029</v>
      </c>
    </row>
    <row r="636" spans="1:20" ht="15">
      <c r="A636" s="278" t="s">
        <v>477</v>
      </c>
      <c r="B636" s="179"/>
      <c r="C636" s="181"/>
      <c r="D636" s="179"/>
      <c r="E636" s="286"/>
      <c r="T636" s="31">
        <v>155217</v>
      </c>
    </row>
    <row r="637" spans="1:20" ht="15">
      <c r="A637" s="278" t="s">
        <v>479</v>
      </c>
      <c r="B637" s="179"/>
      <c r="C637" s="181"/>
      <c r="D637" s="179"/>
      <c r="E637" s="286"/>
      <c r="T637" s="31">
        <v>165123</v>
      </c>
    </row>
    <row r="638" spans="1:20" ht="15">
      <c r="A638" s="278" t="s">
        <v>480</v>
      </c>
      <c r="B638" s="179"/>
      <c r="C638" s="182"/>
      <c r="D638" s="179"/>
      <c r="E638" s="286"/>
      <c r="T638" s="31">
        <v>174928</v>
      </c>
    </row>
    <row r="639" spans="1:20" ht="15">
      <c r="A639" s="278" t="s">
        <v>481</v>
      </c>
      <c r="B639" s="179"/>
      <c r="C639" s="182"/>
      <c r="D639" s="179"/>
      <c r="E639" s="179"/>
      <c r="T639" s="31">
        <v>174724</v>
      </c>
    </row>
    <row r="640" spans="1:20" ht="15">
      <c r="A640" s="278" t="s">
        <v>483</v>
      </c>
      <c r="B640" s="179"/>
      <c r="C640" s="182"/>
      <c r="D640" s="179"/>
      <c r="E640" s="179"/>
      <c r="T640" s="31">
        <v>184726</v>
      </c>
    </row>
    <row r="641" spans="1:20" ht="15">
      <c r="A641" s="278" t="s">
        <v>485</v>
      </c>
      <c r="B641" s="179"/>
      <c r="C641" s="181"/>
      <c r="D641" s="179"/>
      <c r="E641" s="286"/>
      <c r="T641" s="31">
        <v>144814</v>
      </c>
    </row>
    <row r="642" spans="1:20" ht="15">
      <c r="A642" s="278" t="s">
        <v>487</v>
      </c>
      <c r="B642" s="179"/>
      <c r="C642" s="181"/>
      <c r="D642" s="179"/>
      <c r="E642" s="286"/>
      <c r="T642" s="31">
        <v>154722</v>
      </c>
    </row>
    <row r="643" spans="1:20" ht="15">
      <c r="A643" s="278" t="s">
        <v>488</v>
      </c>
      <c r="B643" s="179"/>
      <c r="C643" s="181"/>
      <c r="D643" s="179"/>
      <c r="E643" s="286"/>
      <c r="T643" s="31">
        <v>154825</v>
      </c>
    </row>
    <row r="644" spans="1:20" ht="15">
      <c r="A644" s="278" t="s">
        <v>489</v>
      </c>
      <c r="B644" s="179"/>
      <c r="C644" s="181"/>
      <c r="D644" s="179"/>
      <c r="E644" s="286"/>
      <c r="T644" s="31">
        <v>184733</v>
      </c>
    </row>
    <row r="645" spans="1:20" ht="15">
      <c r="A645" s="278" t="s">
        <v>491</v>
      </c>
      <c r="B645" s="179"/>
      <c r="C645" s="181"/>
      <c r="D645" s="179"/>
      <c r="E645" s="286"/>
      <c r="T645" s="31">
        <v>164728</v>
      </c>
    </row>
    <row r="646" spans="1:20" ht="15">
      <c r="A646" s="278" t="s">
        <v>492</v>
      </c>
      <c r="B646" s="179"/>
      <c r="C646" s="181"/>
      <c r="D646" s="179"/>
      <c r="E646" s="286"/>
      <c r="T646" s="31">
        <v>174728</v>
      </c>
    </row>
    <row r="647" spans="1:20" ht="15">
      <c r="A647" s="278" t="s">
        <v>493</v>
      </c>
      <c r="B647" s="179"/>
      <c r="C647" s="181"/>
      <c r="D647" s="179"/>
      <c r="E647" s="286"/>
      <c r="T647" s="31">
        <v>174730</v>
      </c>
    </row>
    <row r="648" spans="1:20" ht="15">
      <c r="A648" s="278" t="s">
        <v>495</v>
      </c>
      <c r="B648" s="179"/>
      <c r="C648" s="181"/>
      <c r="D648" s="179"/>
      <c r="E648" s="179"/>
      <c r="T648" s="31">
        <v>184528</v>
      </c>
    </row>
    <row r="649" spans="1:20" ht="15">
      <c r="A649" s="278" t="s">
        <v>496</v>
      </c>
      <c r="B649" s="179"/>
      <c r="C649" s="181"/>
      <c r="D649" s="179"/>
      <c r="E649" s="179"/>
      <c r="T649" s="31">
        <v>154717</v>
      </c>
    </row>
    <row r="650" spans="1:20" ht="15">
      <c r="A650" s="278" t="s">
        <v>498</v>
      </c>
      <c r="B650" s="179"/>
      <c r="C650" s="181"/>
      <c r="D650" s="180"/>
      <c r="E650" s="286"/>
      <c r="T650" s="31">
        <v>164610</v>
      </c>
    </row>
    <row r="651" spans="1:20" ht="15">
      <c r="A651" s="278" t="s">
        <v>499</v>
      </c>
      <c r="B651" s="179"/>
      <c r="C651" s="181"/>
      <c r="D651" s="179"/>
      <c r="E651" s="286"/>
      <c r="T651" s="31">
        <v>174421</v>
      </c>
    </row>
    <row r="652" spans="1:20" ht="15">
      <c r="A652" s="278" t="s">
        <v>500</v>
      </c>
      <c r="B652" s="179"/>
      <c r="C652" s="181"/>
      <c r="D652" s="179"/>
      <c r="E652" s="286"/>
      <c r="T652" s="31">
        <v>184417</v>
      </c>
    </row>
    <row r="653" spans="1:20" ht="15">
      <c r="A653" s="278" t="s">
        <v>501</v>
      </c>
      <c r="B653" s="179"/>
      <c r="C653" s="181"/>
      <c r="D653" s="179"/>
      <c r="E653" s="286"/>
      <c r="T653" s="31">
        <v>184522</v>
      </c>
    </row>
    <row r="654" spans="1:20" ht="15">
      <c r="A654" s="278" t="s">
        <v>503</v>
      </c>
      <c r="B654" s="179"/>
      <c r="C654" s="181"/>
      <c r="D654" s="179"/>
      <c r="E654" s="286"/>
      <c r="T654" s="31">
        <v>194916</v>
      </c>
    </row>
    <row r="655" spans="1:20" ht="15">
      <c r="A655" s="278" t="s">
        <v>504</v>
      </c>
      <c r="B655" s="179"/>
      <c r="C655" s="181"/>
      <c r="D655" s="179"/>
      <c r="E655" s="286"/>
      <c r="T655" s="31">
        <v>194820</v>
      </c>
    </row>
    <row r="656" spans="1:20" ht="15">
      <c r="A656" s="278" t="s">
        <v>505</v>
      </c>
      <c r="B656" s="179"/>
      <c r="C656" s="182"/>
      <c r="D656" s="179"/>
      <c r="E656" s="286"/>
      <c r="T656" s="31">
        <v>194517</v>
      </c>
    </row>
    <row r="657" spans="1:20" ht="15">
      <c r="A657" s="278" t="s">
        <v>507</v>
      </c>
      <c r="B657" s="179"/>
      <c r="C657" s="182"/>
      <c r="D657" s="179"/>
      <c r="E657" s="179"/>
      <c r="T657" s="31">
        <v>194726</v>
      </c>
    </row>
    <row r="658" spans="1:20" ht="15">
      <c r="A658" s="278" t="s">
        <v>509</v>
      </c>
      <c r="B658" s="179"/>
      <c r="C658" s="182"/>
      <c r="D658" s="179"/>
      <c r="E658" s="179"/>
      <c r="T658" s="31">
        <v>184023</v>
      </c>
    </row>
    <row r="659" spans="1:20" ht="15">
      <c r="A659" s="278" t="s">
        <v>511</v>
      </c>
      <c r="B659" s="181"/>
      <c r="C659" s="182"/>
      <c r="D659" s="179"/>
      <c r="E659" s="286"/>
      <c r="T659" s="31">
        <v>194127</v>
      </c>
    </row>
    <row r="660" spans="1:20" ht="15">
      <c r="A660" s="278" t="s">
        <v>513</v>
      </c>
      <c r="B660" s="181"/>
      <c r="C660" s="182"/>
      <c r="D660" s="179"/>
      <c r="E660" s="286"/>
      <c r="T660" s="31">
        <v>194241</v>
      </c>
    </row>
    <row r="661" spans="1:20" ht="15">
      <c r="A661" s="278" t="s">
        <v>514</v>
      </c>
      <c r="B661" s="181"/>
      <c r="C661" s="182"/>
      <c r="D661" s="179"/>
      <c r="E661" s="286"/>
      <c r="T661" s="31">
        <v>194318</v>
      </c>
    </row>
    <row r="662" spans="1:20" ht="15">
      <c r="A662" s="278" t="s">
        <v>515</v>
      </c>
      <c r="B662" s="181"/>
      <c r="C662" s="182"/>
      <c r="D662" s="179"/>
      <c r="E662" s="286"/>
      <c r="T662" s="31">
        <v>184530</v>
      </c>
    </row>
    <row r="663" spans="1:20" ht="15">
      <c r="A663" s="278" t="s">
        <v>516</v>
      </c>
      <c r="B663" s="181"/>
      <c r="C663" s="182"/>
      <c r="D663" s="179"/>
      <c r="E663" s="286"/>
      <c r="T663" s="31">
        <v>184225</v>
      </c>
    </row>
    <row r="664" spans="1:20" ht="15">
      <c r="A664" s="278" t="s">
        <v>518</v>
      </c>
      <c r="B664" s="181"/>
      <c r="C664" s="182"/>
      <c r="D664" s="179"/>
      <c r="E664" s="286"/>
      <c r="T664" s="31">
        <v>194234</v>
      </c>
    </row>
    <row r="665" spans="1:20" ht="15">
      <c r="A665" s="278" t="s">
        <v>519</v>
      </c>
      <c r="B665" s="181"/>
      <c r="C665" s="182"/>
      <c r="D665" s="179"/>
      <c r="E665" s="286"/>
      <c r="T665" s="31">
        <v>194329</v>
      </c>
    </row>
    <row r="666" spans="1:20" ht="15">
      <c r="A666" s="278" t="s">
        <v>520</v>
      </c>
      <c r="B666" s="181"/>
      <c r="C666" s="182"/>
      <c r="D666" s="179"/>
      <c r="E666" s="286"/>
      <c r="T666" s="31">
        <v>165804</v>
      </c>
    </row>
    <row r="667" spans="1:20" ht="15">
      <c r="A667" s="278" t="s">
        <v>522</v>
      </c>
      <c r="B667" s="279"/>
      <c r="C667" s="182"/>
      <c r="D667" s="179"/>
      <c r="E667" s="179"/>
      <c r="T667" s="31">
        <v>175107</v>
      </c>
    </row>
    <row r="668" spans="1:20" ht="15">
      <c r="A668" s="278" t="s">
        <v>524</v>
      </c>
      <c r="B668" s="279"/>
      <c r="C668" s="182"/>
      <c r="D668" s="179"/>
      <c r="E668" s="179"/>
      <c r="T668" s="31">
        <v>185611</v>
      </c>
    </row>
    <row r="669" spans="1:20" ht="15">
      <c r="A669" s="278" t="s">
        <v>526</v>
      </c>
      <c r="B669" s="279"/>
      <c r="C669" s="182"/>
      <c r="D669" s="179"/>
      <c r="E669" s="286"/>
      <c r="T669" s="31">
        <v>185606</v>
      </c>
    </row>
    <row r="670" spans="1:20" ht="15">
      <c r="A670" s="278" t="s">
        <v>527</v>
      </c>
      <c r="B670" s="279"/>
      <c r="C670" s="182"/>
      <c r="D670" s="179"/>
      <c r="E670" s="286"/>
      <c r="T670" s="31">
        <v>190312</v>
      </c>
    </row>
    <row r="671" spans="1:20" ht="15">
      <c r="A671" s="278" t="s">
        <v>528</v>
      </c>
      <c r="B671" s="279"/>
      <c r="C671" s="182"/>
      <c r="D671" s="179"/>
      <c r="E671" s="286"/>
      <c r="T671" s="31">
        <v>195212</v>
      </c>
    </row>
    <row r="672" spans="1:20" ht="15">
      <c r="A672" s="278" t="s">
        <v>529</v>
      </c>
      <c r="B672" s="279"/>
      <c r="C672" s="181"/>
      <c r="D672" s="179"/>
      <c r="E672" s="286"/>
      <c r="T672" s="31">
        <v>164408</v>
      </c>
    </row>
    <row r="673" spans="1:20" ht="15">
      <c r="A673" s="278" t="s">
        <v>530</v>
      </c>
      <c r="B673" s="279"/>
      <c r="C673" s="181"/>
      <c r="D673" s="179"/>
      <c r="E673" s="286"/>
      <c r="T673" s="31">
        <v>174408</v>
      </c>
    </row>
    <row r="674" spans="1:20" ht="15">
      <c r="A674" s="278" t="s">
        <v>532</v>
      </c>
      <c r="B674" s="279"/>
      <c r="C674" s="182"/>
      <c r="D674" s="179"/>
      <c r="E674" s="286"/>
      <c r="T674" s="31">
        <v>184510</v>
      </c>
    </row>
    <row r="675" spans="1:20" ht="15">
      <c r="A675" s="278" t="s">
        <v>533</v>
      </c>
      <c r="B675" s="279"/>
      <c r="C675" s="181"/>
      <c r="D675" s="179"/>
      <c r="E675" s="286"/>
      <c r="T675" s="31">
        <v>184011</v>
      </c>
    </row>
    <row r="676" spans="1:20" ht="15">
      <c r="A676" s="278" t="s">
        <v>534</v>
      </c>
      <c r="B676" s="279"/>
      <c r="C676" s="181"/>
      <c r="D676" s="179"/>
      <c r="E676" s="286"/>
      <c r="T676" s="31">
        <v>165806</v>
      </c>
    </row>
    <row r="677" spans="1:20" ht="15">
      <c r="A677" s="278" t="s">
        <v>536</v>
      </c>
      <c r="B677" s="279"/>
      <c r="C677" s="181"/>
      <c r="D677" s="179"/>
      <c r="E677" s="179"/>
      <c r="T677" s="31">
        <v>165106</v>
      </c>
    </row>
    <row r="678" spans="1:20" ht="15">
      <c r="A678" s="278" t="s">
        <v>538</v>
      </c>
      <c r="B678" s="280"/>
      <c r="C678" s="181"/>
      <c r="D678" s="179"/>
      <c r="E678" s="286"/>
      <c r="T678" s="31">
        <v>175111</v>
      </c>
    </row>
    <row r="679" spans="1:20" ht="15">
      <c r="A679" s="278" t="s">
        <v>540</v>
      </c>
      <c r="B679" s="279"/>
      <c r="C679" s="181"/>
      <c r="D679" s="179"/>
      <c r="E679" s="286"/>
      <c r="T679" s="31">
        <v>175110</v>
      </c>
    </row>
    <row r="680" spans="1:20" ht="15">
      <c r="A680" s="278" t="s">
        <v>542</v>
      </c>
      <c r="B680" s="279"/>
      <c r="C680" s="181"/>
      <c r="D680" s="179"/>
      <c r="E680" s="286"/>
      <c r="T680" s="31">
        <v>184612</v>
      </c>
    </row>
    <row r="681" spans="1:20" ht="15">
      <c r="A681" s="278" t="s">
        <v>544</v>
      </c>
      <c r="B681" s="279"/>
      <c r="C681" s="181"/>
      <c r="D681" s="179"/>
      <c r="E681" s="286"/>
      <c r="T681" s="31">
        <v>185112</v>
      </c>
    </row>
    <row r="682" spans="1:20" ht="15">
      <c r="A682" s="278" t="s">
        <v>545</v>
      </c>
      <c r="B682" s="279"/>
      <c r="C682" s="181"/>
      <c r="D682" s="179"/>
      <c r="E682" s="286"/>
      <c r="T682" s="31">
        <v>154707</v>
      </c>
    </row>
    <row r="683" spans="1:20" ht="15">
      <c r="A683" s="278" t="s">
        <v>546</v>
      </c>
      <c r="B683" s="279"/>
      <c r="C683" s="181"/>
      <c r="D683" s="179"/>
      <c r="E683" s="286"/>
      <c r="T683" s="31">
        <v>164712</v>
      </c>
    </row>
    <row r="684" spans="1:20" ht="15">
      <c r="A684" s="278" t="s">
        <v>547</v>
      </c>
      <c r="B684" s="279"/>
      <c r="C684" s="182"/>
      <c r="D684" s="179"/>
      <c r="E684" s="286"/>
      <c r="T684" s="31">
        <v>174818</v>
      </c>
    </row>
    <row r="685" spans="1:20" ht="15">
      <c r="A685" s="278" t="s">
        <v>549</v>
      </c>
      <c r="B685" s="182"/>
      <c r="C685" s="182"/>
      <c r="D685" s="179"/>
      <c r="E685" s="182"/>
      <c r="T685" s="31">
        <v>185308</v>
      </c>
    </row>
    <row r="686" spans="1:20" ht="15">
      <c r="A686" s="278" t="s">
        <v>550</v>
      </c>
      <c r="B686" s="182"/>
      <c r="C686" s="182"/>
      <c r="D686" s="179"/>
      <c r="E686" s="182"/>
      <c r="T686" s="31">
        <v>125204</v>
      </c>
    </row>
    <row r="687" spans="1:20" ht="15">
      <c r="A687" s="278" t="s">
        <v>551</v>
      </c>
      <c r="B687" s="182"/>
      <c r="C687" s="182"/>
      <c r="D687" s="179"/>
      <c r="E687" s="286"/>
      <c r="T687" s="31">
        <v>144908</v>
      </c>
    </row>
    <row r="688" spans="1:20" ht="15">
      <c r="A688" s="278" t="s">
        <v>553</v>
      </c>
      <c r="B688" s="182"/>
      <c r="C688" s="182"/>
      <c r="D688" s="179"/>
      <c r="E688" s="286"/>
      <c r="T688" s="31">
        <v>165114</v>
      </c>
    </row>
    <row r="689" spans="1:20" ht="15">
      <c r="A689" s="278" t="s">
        <v>554</v>
      </c>
      <c r="B689" s="182"/>
      <c r="C689" s="182"/>
      <c r="D689" s="179"/>
      <c r="E689" s="286"/>
      <c r="T689" s="31">
        <v>184718</v>
      </c>
    </row>
    <row r="690" spans="1:20" ht="15">
      <c r="A690" s="278">
        <v>6509819</v>
      </c>
      <c r="B690" s="179"/>
      <c r="C690" s="182"/>
      <c r="D690" s="179"/>
      <c r="E690" s="179"/>
      <c r="T690" s="31">
        <v>125505</v>
      </c>
    </row>
    <row r="691" spans="1:20" ht="15">
      <c r="A691" s="278">
        <v>6509820</v>
      </c>
      <c r="B691" s="179"/>
      <c r="C691" s="182"/>
      <c r="D691" s="179"/>
      <c r="E691" s="179"/>
      <c r="T691" s="31">
        <v>125409</v>
      </c>
    </row>
    <row r="692" spans="1:20" ht="15">
      <c r="A692" s="278">
        <v>6509821</v>
      </c>
      <c r="B692" s="180"/>
      <c r="C692" s="182"/>
      <c r="D692" s="180"/>
      <c r="E692" s="286"/>
      <c r="T692" s="31">
        <v>125209</v>
      </c>
    </row>
    <row r="693" spans="1:20" ht="15">
      <c r="A693" s="278">
        <v>6509822</v>
      </c>
      <c r="B693" s="179"/>
      <c r="C693" s="182"/>
      <c r="D693" s="179"/>
      <c r="E693" s="286"/>
      <c r="T693" s="31">
        <v>125410</v>
      </c>
    </row>
    <row r="694" spans="1:20" ht="15">
      <c r="A694" s="278">
        <v>6509823</v>
      </c>
      <c r="B694" s="179"/>
      <c r="C694" s="182"/>
      <c r="D694" s="179"/>
      <c r="E694" s="286"/>
      <c r="T694" s="31">
        <v>144811</v>
      </c>
    </row>
    <row r="695" spans="1:20" ht="15">
      <c r="A695" s="278">
        <v>6509824</v>
      </c>
      <c r="B695" s="179"/>
      <c r="C695" s="182"/>
      <c r="D695" s="179"/>
      <c r="E695" s="286"/>
      <c r="T695" s="31">
        <v>125206</v>
      </c>
    </row>
    <row r="696" spans="1:20" ht="15">
      <c r="A696" s="278">
        <v>6509825</v>
      </c>
      <c r="B696" s="179"/>
      <c r="C696" s="182"/>
      <c r="D696" s="179"/>
      <c r="E696" s="286"/>
      <c r="T696" s="31">
        <v>135306</v>
      </c>
    </row>
    <row r="697" spans="1:20" ht="15">
      <c r="A697" s="278">
        <v>6509826</v>
      </c>
      <c r="B697" s="179"/>
      <c r="C697" s="182"/>
      <c r="D697" s="179"/>
      <c r="E697" s="286"/>
      <c r="T697" s="31">
        <v>135309</v>
      </c>
    </row>
    <row r="698" spans="1:20" ht="15">
      <c r="A698" s="278">
        <v>6509827</v>
      </c>
      <c r="B698" s="179"/>
      <c r="C698" s="182"/>
      <c r="D698" s="179"/>
      <c r="E698" s="286"/>
      <c r="T698" s="31">
        <v>154715</v>
      </c>
    </row>
    <row r="699" spans="1:20" ht="15">
      <c r="A699" s="278">
        <v>6509933</v>
      </c>
      <c r="B699" s="179"/>
      <c r="C699" s="182"/>
      <c r="D699" s="179"/>
      <c r="E699" s="179"/>
      <c r="T699" s="31">
        <v>124806</v>
      </c>
    </row>
    <row r="700" spans="1:20" ht="15">
      <c r="A700" s="278">
        <v>6509934</v>
      </c>
      <c r="B700" s="179"/>
      <c r="C700" s="182"/>
      <c r="D700" s="179"/>
      <c r="E700" s="286"/>
      <c r="T700" s="31">
        <v>134804</v>
      </c>
    </row>
    <row r="701" spans="1:20" ht="15">
      <c r="A701" s="278">
        <v>6509935</v>
      </c>
      <c r="B701" s="179"/>
      <c r="C701" s="182"/>
      <c r="D701" s="179"/>
      <c r="E701" s="286"/>
      <c r="T701" s="31">
        <v>134405</v>
      </c>
    </row>
    <row r="702" spans="1:20" ht="15">
      <c r="A702" s="278">
        <v>6509936</v>
      </c>
      <c r="B702" s="179"/>
      <c r="C702" s="182"/>
      <c r="D702" s="179"/>
      <c r="E702" s="286"/>
      <c r="T702" s="31">
        <v>144807</v>
      </c>
    </row>
    <row r="703" spans="1:20" ht="15">
      <c r="A703" s="278">
        <v>6509937</v>
      </c>
      <c r="B703" s="179"/>
      <c r="C703" s="182"/>
      <c r="D703" s="179"/>
      <c r="E703" s="286"/>
      <c r="T703" s="31">
        <v>155207</v>
      </c>
    </row>
    <row r="704" spans="1:20" ht="15">
      <c r="A704" s="278">
        <v>6509938</v>
      </c>
      <c r="B704" s="179"/>
      <c r="C704" s="182"/>
      <c r="D704" s="179"/>
      <c r="E704" s="286"/>
      <c r="T704" s="31">
        <v>124805</v>
      </c>
    </row>
    <row r="705" spans="1:20" ht="15">
      <c r="A705" s="278">
        <v>6509939</v>
      </c>
      <c r="B705" s="179"/>
      <c r="C705" s="182"/>
      <c r="D705" s="179"/>
      <c r="E705" s="286"/>
      <c r="T705" s="31">
        <v>124610</v>
      </c>
    </row>
    <row r="706" spans="1:20" ht="15">
      <c r="A706" s="278">
        <v>6509940</v>
      </c>
      <c r="B706" s="179"/>
      <c r="C706" s="182"/>
      <c r="D706" s="179"/>
      <c r="E706" s="286"/>
      <c r="T706" s="31">
        <v>124604</v>
      </c>
    </row>
    <row r="707" spans="1:20" ht="15">
      <c r="A707" s="278">
        <v>6509941</v>
      </c>
      <c r="B707" s="180"/>
      <c r="C707" s="182"/>
      <c r="D707" s="179"/>
      <c r="E707" s="286"/>
      <c r="T707" s="31">
        <v>144510</v>
      </c>
    </row>
    <row r="708" spans="1:20" ht="15">
      <c r="A708" s="278">
        <v>6509942</v>
      </c>
      <c r="B708" s="179"/>
      <c r="C708" s="182"/>
      <c r="D708" s="179"/>
      <c r="E708" s="286"/>
      <c r="T708" s="31">
        <v>154712</v>
      </c>
    </row>
    <row r="709" spans="1:20" ht="15">
      <c r="A709" s="278">
        <v>6509943</v>
      </c>
      <c r="B709" s="179"/>
      <c r="C709" s="182"/>
      <c r="D709" s="179"/>
      <c r="E709" s="286"/>
      <c r="T709" s="31">
        <v>164612</v>
      </c>
    </row>
    <row r="710" spans="1:20" ht="15">
      <c r="A710" s="278">
        <v>6509944</v>
      </c>
      <c r="B710" s="179"/>
      <c r="C710" s="182"/>
      <c r="D710" s="179"/>
      <c r="E710" s="286"/>
      <c r="T710" s="31">
        <v>174911</v>
      </c>
    </row>
    <row r="711" spans="1:20" ht="15">
      <c r="A711" s="278">
        <v>6509945</v>
      </c>
      <c r="B711" s="179"/>
      <c r="C711" s="182"/>
      <c r="D711" s="179"/>
      <c r="E711" s="286"/>
      <c r="T711" s="31">
        <v>134409</v>
      </c>
    </row>
    <row r="712" spans="1:20" ht="15">
      <c r="A712" s="278">
        <v>6509841</v>
      </c>
      <c r="B712" s="179"/>
      <c r="C712" s="182"/>
      <c r="D712" s="179"/>
      <c r="E712" s="179"/>
      <c r="T712" s="31">
        <v>144512</v>
      </c>
    </row>
    <row r="713" spans="1:20" ht="15">
      <c r="A713" s="278">
        <v>6509842</v>
      </c>
      <c r="B713" s="179"/>
      <c r="C713" s="182"/>
      <c r="D713" s="179"/>
      <c r="E713" s="286"/>
      <c r="T713" s="31">
        <v>134411</v>
      </c>
    </row>
    <row r="714" spans="1:20" ht="15">
      <c r="A714" s="278">
        <v>6509843</v>
      </c>
      <c r="B714" s="179"/>
      <c r="C714" s="182"/>
      <c r="D714" s="179"/>
      <c r="E714" s="286"/>
      <c r="T714" s="31">
        <v>144516</v>
      </c>
    </row>
    <row r="715" spans="1:20" ht="15">
      <c r="A715" s="278">
        <v>6509844</v>
      </c>
      <c r="B715" s="179"/>
      <c r="C715" s="182"/>
      <c r="D715" s="179"/>
      <c r="E715" s="286"/>
      <c r="T715" s="31">
        <v>184247</v>
      </c>
    </row>
    <row r="716" spans="1:20" ht="15">
      <c r="A716" s="278">
        <v>6509845</v>
      </c>
      <c r="B716" s="179"/>
      <c r="C716" s="182"/>
      <c r="D716" s="179"/>
      <c r="E716" s="286"/>
      <c r="T716" s="31">
        <v>184032</v>
      </c>
    </row>
    <row r="717" spans="1:20" ht="15">
      <c r="A717" s="278">
        <v>6509846</v>
      </c>
      <c r="B717" s="179"/>
      <c r="C717" s="182"/>
      <c r="D717" s="179"/>
      <c r="E717" s="286"/>
      <c r="T717" s="31">
        <v>194035</v>
      </c>
    </row>
    <row r="718" spans="1:20" ht="15">
      <c r="A718" s="278">
        <v>6509847</v>
      </c>
      <c r="B718" s="179"/>
      <c r="C718" s="182"/>
      <c r="D718" s="179"/>
      <c r="E718" s="286"/>
      <c r="T718" s="31">
        <v>174336</v>
      </c>
    </row>
    <row r="719" spans="1:20" ht="15">
      <c r="A719" s="278">
        <v>6509848</v>
      </c>
      <c r="B719" s="179"/>
      <c r="C719" s="182"/>
      <c r="D719" s="179"/>
      <c r="E719" s="286"/>
      <c r="T719" s="31">
        <v>184330</v>
      </c>
    </row>
    <row r="720" spans="1:20" ht="15">
      <c r="A720" s="278">
        <v>6509849</v>
      </c>
      <c r="B720" s="179"/>
      <c r="C720" s="182"/>
      <c r="D720" s="179"/>
      <c r="E720" s="286"/>
      <c r="T720" s="31">
        <v>174433</v>
      </c>
    </row>
    <row r="721" spans="1:20" ht="15">
      <c r="A721" s="278">
        <v>6509850</v>
      </c>
      <c r="B721" s="179"/>
      <c r="C721" s="182"/>
      <c r="D721" s="179"/>
      <c r="E721" s="286"/>
      <c r="T721" s="31">
        <v>174440</v>
      </c>
    </row>
    <row r="722" spans="1:20" ht="15">
      <c r="A722" s="278">
        <v>6509851</v>
      </c>
      <c r="B722" s="179"/>
      <c r="C722" s="182"/>
      <c r="D722" s="179"/>
      <c r="E722" s="286"/>
      <c r="T722" s="31">
        <v>164421</v>
      </c>
    </row>
    <row r="723" spans="1:20" ht="15">
      <c r="A723" s="278">
        <v>6509852</v>
      </c>
      <c r="B723" s="179"/>
      <c r="C723" s="182"/>
      <c r="D723" s="179"/>
      <c r="E723" s="286"/>
      <c r="T723" s="31">
        <v>164529</v>
      </c>
    </row>
    <row r="724" spans="1:20" ht="15">
      <c r="A724" s="278">
        <v>6509853</v>
      </c>
      <c r="B724" s="179"/>
      <c r="C724" s="182"/>
      <c r="D724" s="179"/>
      <c r="E724" s="286"/>
      <c r="T724" s="31">
        <v>174328</v>
      </c>
    </row>
    <row r="725" spans="1:20" ht="15">
      <c r="A725" s="278">
        <v>6510398</v>
      </c>
      <c r="B725" s="179"/>
      <c r="C725" s="182"/>
      <c r="D725" s="179"/>
      <c r="E725" s="179"/>
      <c r="T725" s="31">
        <v>174427</v>
      </c>
    </row>
    <row r="726" spans="1:20" ht="15">
      <c r="A726" s="278">
        <v>6510400</v>
      </c>
      <c r="B726" s="179"/>
      <c r="C726" s="182"/>
      <c r="D726" s="179"/>
      <c r="E726" s="179"/>
      <c r="T726" s="31">
        <v>184334</v>
      </c>
    </row>
    <row r="727" spans="1:20" ht="15">
      <c r="A727" s="278">
        <v>6510401</v>
      </c>
      <c r="B727" s="179"/>
      <c r="C727" s="182"/>
      <c r="D727" s="179"/>
      <c r="E727" s="286"/>
      <c r="T727" s="31">
        <v>144313</v>
      </c>
    </row>
    <row r="728" spans="1:20" ht="15">
      <c r="A728" s="278">
        <v>6510403</v>
      </c>
      <c r="B728" s="179"/>
      <c r="C728" s="182"/>
      <c r="D728" s="179"/>
      <c r="E728" s="286"/>
      <c r="T728" s="31">
        <v>154421</v>
      </c>
    </row>
    <row r="729" spans="1:20" ht="15">
      <c r="A729" s="278">
        <v>6510405</v>
      </c>
      <c r="B729" s="179"/>
      <c r="C729" s="182"/>
      <c r="D729" s="179"/>
      <c r="E729" s="286"/>
      <c r="T729" s="31">
        <v>164525</v>
      </c>
    </row>
    <row r="730" spans="1:20" ht="15">
      <c r="A730" s="278">
        <v>6510408</v>
      </c>
      <c r="B730" s="179"/>
      <c r="C730" s="182"/>
      <c r="D730" s="179"/>
      <c r="E730" s="286"/>
      <c r="T730" s="31">
        <v>144306</v>
      </c>
    </row>
    <row r="731" spans="1:20" ht="15">
      <c r="A731" s="278">
        <v>6510410</v>
      </c>
      <c r="B731" s="179"/>
      <c r="C731" s="182"/>
      <c r="D731" s="180"/>
      <c r="E731" s="286"/>
      <c r="T731" s="31">
        <v>144506</v>
      </c>
    </row>
    <row r="732" spans="1:20" ht="15">
      <c r="A732" s="278">
        <v>6510412</v>
      </c>
      <c r="B732" s="179"/>
      <c r="C732" s="182"/>
      <c r="D732" s="179"/>
      <c r="E732" s="286"/>
      <c r="T732" s="31">
        <v>164414</v>
      </c>
    </row>
    <row r="733" spans="1:20" ht="15">
      <c r="A733" s="278">
        <v>6510415</v>
      </c>
      <c r="B733" s="179"/>
      <c r="C733" s="182"/>
      <c r="D733" s="179"/>
      <c r="E733" s="286"/>
      <c r="T733" s="31">
        <v>164114</v>
      </c>
    </row>
    <row r="734" spans="1:20" ht="15">
      <c r="A734" s="278">
        <v>6510416</v>
      </c>
      <c r="B734" s="179"/>
      <c r="C734" s="182"/>
      <c r="D734" s="179"/>
      <c r="E734" s="286"/>
      <c r="T734" s="31">
        <v>164411</v>
      </c>
    </row>
    <row r="735" spans="1:20" ht="15">
      <c r="A735" s="278">
        <v>6510395</v>
      </c>
      <c r="B735" s="179"/>
      <c r="C735" s="182"/>
      <c r="D735" s="179"/>
      <c r="E735" s="286"/>
      <c r="T735" s="31">
        <v>174412</v>
      </c>
    </row>
    <row r="736" spans="1:20" ht="15">
      <c r="A736" s="278">
        <v>6510396</v>
      </c>
      <c r="B736" s="179"/>
      <c r="C736" s="182"/>
      <c r="D736" s="179"/>
      <c r="E736" s="286"/>
      <c r="T736" s="31">
        <v>184217</v>
      </c>
    </row>
    <row r="737" spans="1:20" ht="15">
      <c r="A737" s="278">
        <v>6510407</v>
      </c>
      <c r="B737" s="179"/>
      <c r="C737" s="182"/>
      <c r="D737" s="179"/>
      <c r="E737" s="286"/>
      <c r="T737" s="31">
        <v>164109</v>
      </c>
    </row>
    <row r="738" spans="1:20" ht="15">
      <c r="A738" s="278">
        <v>6510409</v>
      </c>
      <c r="B738" s="179"/>
      <c r="C738" s="182"/>
      <c r="D738" s="179"/>
      <c r="E738" s="286"/>
      <c r="T738" s="31">
        <v>184215</v>
      </c>
    </row>
    <row r="739" spans="1:20" ht="15">
      <c r="A739" s="278">
        <v>6510411</v>
      </c>
      <c r="B739" s="179"/>
      <c r="C739" s="182"/>
      <c r="D739" s="179"/>
      <c r="E739" s="286"/>
      <c r="T739" s="31">
        <v>174320</v>
      </c>
    </row>
    <row r="740" spans="1:20" ht="15">
      <c r="A740" s="278">
        <v>6510417</v>
      </c>
      <c r="B740" s="179"/>
      <c r="C740" s="182"/>
      <c r="D740" s="179"/>
      <c r="E740" s="286"/>
      <c r="T740" s="31">
        <v>184220</v>
      </c>
    </row>
    <row r="741" spans="1:20" ht="15">
      <c r="A741" s="278">
        <v>6509864</v>
      </c>
      <c r="B741" s="179"/>
      <c r="C741" s="182"/>
      <c r="D741" s="179"/>
      <c r="E741" s="179"/>
      <c r="T741" s="31">
        <v>184018</v>
      </c>
    </row>
    <row r="742" spans="1:20" ht="15">
      <c r="A742" s="278">
        <v>6509865</v>
      </c>
      <c r="B742" s="179"/>
      <c r="C742" s="182"/>
      <c r="D742" s="179"/>
      <c r="E742" s="286"/>
      <c r="T742" s="31">
        <v>194125</v>
      </c>
    </row>
    <row r="743" spans="1:20" ht="15">
      <c r="A743" s="278">
        <v>6509866</v>
      </c>
      <c r="B743" s="179"/>
      <c r="C743" s="182"/>
      <c r="D743" s="179"/>
      <c r="E743" s="286"/>
      <c r="T743" s="31">
        <v>154312</v>
      </c>
    </row>
    <row r="744" spans="1:20" ht="15">
      <c r="A744" s="278">
        <v>6509867</v>
      </c>
      <c r="B744" s="179"/>
      <c r="C744" s="182"/>
      <c r="D744" s="179"/>
      <c r="E744" s="286"/>
      <c r="T744" s="31">
        <v>174021</v>
      </c>
    </row>
    <row r="745" spans="1:20" ht="15">
      <c r="A745" s="278">
        <v>6509868</v>
      </c>
      <c r="B745" s="179"/>
      <c r="C745" s="182"/>
      <c r="D745" s="179"/>
      <c r="E745" s="286"/>
      <c r="T745" s="31">
        <v>174020</v>
      </c>
    </row>
    <row r="746" spans="1:20" ht="15">
      <c r="A746" s="278">
        <v>6509869</v>
      </c>
      <c r="B746" s="179"/>
      <c r="C746" s="182"/>
      <c r="D746" s="179"/>
      <c r="E746" s="286"/>
      <c r="T746" s="31">
        <v>183922</v>
      </c>
    </row>
    <row r="747" spans="1:20" ht="15">
      <c r="A747" s="278">
        <v>6509870</v>
      </c>
      <c r="B747" s="179"/>
      <c r="C747" s="182"/>
      <c r="D747" s="179"/>
      <c r="E747" s="286"/>
      <c r="T747" s="31">
        <v>184020</v>
      </c>
    </row>
    <row r="748" spans="1:20" ht="15">
      <c r="A748" s="278">
        <v>6509871</v>
      </c>
      <c r="B748" s="179"/>
      <c r="C748" s="182"/>
      <c r="D748" s="179"/>
      <c r="E748" s="286"/>
      <c r="T748" s="31">
        <v>184025</v>
      </c>
    </row>
    <row r="749" spans="1:20" ht="15">
      <c r="A749" s="278">
        <v>6509872</v>
      </c>
      <c r="B749" s="179"/>
      <c r="C749" s="182"/>
      <c r="D749" s="179"/>
      <c r="E749" s="286"/>
      <c r="T749" s="31">
        <v>183918</v>
      </c>
    </row>
    <row r="750" spans="1:20" ht="15">
      <c r="A750" s="278">
        <v>6509873</v>
      </c>
      <c r="B750" s="179"/>
      <c r="C750" s="182"/>
      <c r="D750" s="179"/>
      <c r="E750" s="286"/>
      <c r="T750" s="31">
        <v>154005</v>
      </c>
    </row>
    <row r="751" spans="1:20" ht="15">
      <c r="A751" s="278">
        <v>6509874</v>
      </c>
      <c r="B751" s="179"/>
      <c r="C751" s="182"/>
      <c r="D751" s="179"/>
      <c r="E751" s="286"/>
      <c r="T751" s="31">
        <v>164013</v>
      </c>
    </row>
    <row r="752" spans="1:20" ht="15">
      <c r="A752" s="278">
        <v>6509875</v>
      </c>
      <c r="B752" s="179"/>
      <c r="C752" s="182"/>
      <c r="D752" s="179"/>
      <c r="E752" s="286"/>
      <c r="T752" s="31">
        <v>164010</v>
      </c>
    </row>
    <row r="753" spans="1:20" ht="15">
      <c r="A753" s="278">
        <v>6509876</v>
      </c>
      <c r="B753" s="179"/>
      <c r="C753" s="182"/>
      <c r="D753" s="179"/>
      <c r="E753" s="286"/>
      <c r="T753" s="31">
        <v>194227</v>
      </c>
    </row>
    <row r="754" spans="1:20" ht="15">
      <c r="A754" s="278">
        <v>6509877</v>
      </c>
      <c r="B754" s="179"/>
      <c r="C754" s="182"/>
      <c r="D754" s="179"/>
      <c r="E754" s="179"/>
      <c r="T754" s="31">
        <v>194316</v>
      </c>
    </row>
    <row r="755" spans="1:20" ht="15">
      <c r="A755" s="278">
        <v>6509878</v>
      </c>
      <c r="B755" s="179"/>
      <c r="C755" s="182"/>
      <c r="D755" s="179"/>
      <c r="E755" s="286"/>
      <c r="T755" s="31">
        <v>193810</v>
      </c>
    </row>
    <row r="756" spans="1:20" ht="15">
      <c r="A756" s="278">
        <v>6509879</v>
      </c>
      <c r="B756" s="179"/>
      <c r="C756" s="182"/>
      <c r="D756" s="179"/>
      <c r="E756" s="286"/>
      <c r="T756" s="31">
        <v>193921</v>
      </c>
    </row>
    <row r="757" spans="1:20" ht="15">
      <c r="A757" s="278">
        <v>6509880</v>
      </c>
      <c r="B757" s="179"/>
      <c r="C757" s="182"/>
      <c r="D757" s="179"/>
      <c r="E757" s="286"/>
      <c r="T757" s="31">
        <v>134404</v>
      </c>
    </row>
    <row r="758" spans="1:20" ht="15">
      <c r="A758" s="278">
        <v>6509881</v>
      </c>
      <c r="B758" s="179"/>
      <c r="C758" s="182"/>
      <c r="D758" s="179"/>
      <c r="E758" s="286"/>
      <c r="T758" s="31">
        <v>193906</v>
      </c>
    </row>
    <row r="759" spans="1:20" ht="15">
      <c r="A759" s="278">
        <v>6509882</v>
      </c>
      <c r="B759" s="179"/>
      <c r="C759" s="182"/>
      <c r="D759" s="179"/>
      <c r="E759" s="286"/>
      <c r="T759" s="31">
        <v>194014</v>
      </c>
    </row>
    <row r="760" spans="1:20" ht="15">
      <c r="A760" s="278">
        <v>6509883</v>
      </c>
      <c r="B760" s="179"/>
      <c r="C760" s="182"/>
      <c r="D760" s="179"/>
      <c r="E760" s="286"/>
      <c r="T760" s="31">
        <v>194019</v>
      </c>
    </row>
    <row r="761" spans="1:20" ht="15">
      <c r="A761" s="278">
        <v>6509884</v>
      </c>
      <c r="B761" s="179"/>
      <c r="C761" s="182"/>
      <c r="D761" s="179"/>
      <c r="E761" s="286"/>
      <c r="T761" s="31">
        <v>144206</v>
      </c>
    </row>
    <row r="762" spans="1:20" ht="15">
      <c r="A762" s="278">
        <v>6509885</v>
      </c>
      <c r="B762" s="179"/>
      <c r="C762" s="182"/>
      <c r="D762" s="179"/>
      <c r="E762" s="286"/>
      <c r="T762" s="31">
        <v>194104</v>
      </c>
    </row>
    <row r="763" spans="1:20" ht="15">
      <c r="A763" s="278">
        <v>6509886</v>
      </c>
      <c r="B763" s="179"/>
      <c r="C763" s="182"/>
      <c r="D763" s="179"/>
      <c r="E763" s="286"/>
      <c r="T763" s="31">
        <v>194220</v>
      </c>
    </row>
    <row r="764" spans="1:20" ht="15">
      <c r="A764" s="278">
        <v>6509887</v>
      </c>
      <c r="B764" s="179"/>
      <c r="C764" s="182"/>
      <c r="D764" s="179"/>
      <c r="E764" s="286"/>
      <c r="T764" s="31">
        <v>194110</v>
      </c>
    </row>
    <row r="765" spans="1:20" ht="15">
      <c r="A765" s="278">
        <v>6509888</v>
      </c>
      <c r="B765" s="179"/>
      <c r="C765" s="182"/>
      <c r="D765" s="179"/>
      <c r="E765" s="286"/>
      <c r="T765" s="31">
        <v>194015</v>
      </c>
    </row>
    <row r="766" spans="1:20" ht="15">
      <c r="A766" s="278">
        <v>6509889</v>
      </c>
      <c r="B766" s="179"/>
      <c r="C766" s="182"/>
      <c r="D766" s="179"/>
      <c r="E766" s="286"/>
      <c r="T766" s="31">
        <v>194013</v>
      </c>
    </row>
    <row r="767" spans="1:20" ht="15">
      <c r="A767" s="278">
        <v>6509890</v>
      </c>
      <c r="B767" s="179"/>
      <c r="C767" s="182"/>
      <c r="D767" s="179"/>
      <c r="E767" s="179"/>
      <c r="T767" s="31">
        <v>134103</v>
      </c>
    </row>
    <row r="768" spans="1:20" ht="15">
      <c r="A768" s="278">
        <v>6509891</v>
      </c>
      <c r="B768" s="179"/>
      <c r="C768" s="182"/>
      <c r="D768" s="179"/>
      <c r="E768" s="286"/>
      <c r="T768" s="31">
        <v>144210</v>
      </c>
    </row>
    <row r="769" spans="1:20" ht="15">
      <c r="A769" s="278">
        <v>6509892</v>
      </c>
      <c r="B769" s="179"/>
      <c r="C769" s="182"/>
      <c r="D769" s="179"/>
      <c r="E769" s="286"/>
      <c r="T769" s="31">
        <v>154008</v>
      </c>
    </row>
    <row r="770" spans="1:20" ht="15">
      <c r="A770" s="278">
        <v>6509893</v>
      </c>
      <c r="B770" s="179"/>
      <c r="C770" s="182"/>
      <c r="D770" s="179"/>
      <c r="E770" s="286"/>
      <c r="T770" s="31">
        <v>183916</v>
      </c>
    </row>
    <row r="771" spans="1:20" ht="15">
      <c r="A771" s="278">
        <v>6509894</v>
      </c>
      <c r="B771" s="179"/>
      <c r="C771" s="182"/>
      <c r="D771" s="179"/>
      <c r="E771" s="286"/>
      <c r="T771" s="31">
        <v>183910</v>
      </c>
    </row>
    <row r="772" spans="1:20" ht="15">
      <c r="A772" s="278">
        <v>6509895</v>
      </c>
      <c r="B772" s="179"/>
      <c r="C772" s="182"/>
      <c r="D772" s="179"/>
      <c r="E772" s="286"/>
      <c r="T772" s="31">
        <v>144214</v>
      </c>
    </row>
    <row r="773" spans="1:20" ht="15">
      <c r="A773" s="278">
        <v>6509896</v>
      </c>
      <c r="B773" s="179"/>
      <c r="C773" s="182"/>
      <c r="D773" s="179"/>
      <c r="E773" s="286"/>
      <c r="T773" s="31">
        <v>164019</v>
      </c>
    </row>
    <row r="774" spans="1:20" ht="15">
      <c r="A774" s="278">
        <v>6509897</v>
      </c>
      <c r="B774" s="179"/>
      <c r="C774" s="182"/>
      <c r="D774" s="179"/>
      <c r="E774" s="286"/>
      <c r="T774" s="31">
        <v>173915</v>
      </c>
    </row>
    <row r="775" spans="1:20" ht="15">
      <c r="A775" s="278">
        <v>6509898</v>
      </c>
      <c r="B775" s="179"/>
      <c r="C775" s="182"/>
      <c r="D775" s="179"/>
      <c r="E775" s="286"/>
      <c r="T775" s="31">
        <v>173918</v>
      </c>
    </row>
    <row r="776" spans="1:20" ht="15">
      <c r="A776" s="278">
        <v>6509899</v>
      </c>
      <c r="B776" s="179"/>
      <c r="C776" s="182"/>
      <c r="D776" s="179"/>
      <c r="E776" s="286"/>
      <c r="T776" s="31">
        <v>193950</v>
      </c>
    </row>
    <row r="777" spans="1:20" ht="15">
      <c r="A777" s="278">
        <v>6509900</v>
      </c>
      <c r="B777" s="179"/>
      <c r="C777" s="182"/>
      <c r="D777" s="179"/>
      <c r="E777" s="286"/>
      <c r="T777" s="31">
        <v>193864</v>
      </c>
    </row>
    <row r="778" spans="1:20" ht="15">
      <c r="A778" s="278">
        <v>6509901</v>
      </c>
      <c r="B778" s="179"/>
      <c r="C778" s="182"/>
      <c r="D778" s="179"/>
      <c r="E778" s="286"/>
      <c r="T778" s="31">
        <v>193938</v>
      </c>
    </row>
    <row r="779" spans="1:20" ht="15">
      <c r="A779" s="278">
        <v>6509902</v>
      </c>
      <c r="B779" s="179"/>
      <c r="C779" s="182"/>
      <c r="D779" s="179"/>
      <c r="E779" s="286"/>
      <c r="T779" s="31">
        <v>184141</v>
      </c>
    </row>
    <row r="780" spans="1:20" ht="15">
      <c r="A780" s="278">
        <v>6509904</v>
      </c>
      <c r="B780" s="179"/>
      <c r="C780" s="182"/>
      <c r="D780" s="179"/>
      <c r="E780" s="286"/>
      <c r="T780" s="31">
        <v>184148</v>
      </c>
    </row>
    <row r="781" spans="1:20" ht="15">
      <c r="A781" s="278">
        <v>6509905</v>
      </c>
      <c r="B781" s="179"/>
      <c r="C781" s="182"/>
      <c r="D781" s="179"/>
      <c r="E781" s="286"/>
      <c r="T781" s="31">
        <v>194049</v>
      </c>
    </row>
    <row r="782" spans="1:20" ht="15">
      <c r="A782" s="278">
        <v>6509906</v>
      </c>
      <c r="B782" s="179"/>
      <c r="C782" s="182"/>
      <c r="D782" s="179"/>
      <c r="E782" s="286"/>
      <c r="T782" s="31">
        <v>194150</v>
      </c>
    </row>
    <row r="783" spans="1:20" ht="15">
      <c r="A783" s="278">
        <v>6509907</v>
      </c>
      <c r="B783" s="179"/>
      <c r="C783" s="182"/>
      <c r="D783" s="179"/>
      <c r="E783" s="286"/>
      <c r="T783" s="31">
        <v>184051</v>
      </c>
    </row>
    <row r="784" spans="1:20" ht="15">
      <c r="A784" s="278">
        <v>6509908</v>
      </c>
      <c r="B784" s="179"/>
      <c r="C784" s="182"/>
      <c r="D784" s="180"/>
      <c r="E784" s="286"/>
      <c r="T784" s="31">
        <v>194053</v>
      </c>
    </row>
    <row r="785" spans="1:20" ht="15">
      <c r="A785" s="278">
        <v>6509909</v>
      </c>
      <c r="B785" s="179"/>
      <c r="C785" s="182"/>
      <c r="D785" s="179"/>
      <c r="E785" s="286"/>
      <c r="T785" s="31">
        <v>194056</v>
      </c>
    </row>
    <row r="786" spans="1:20" ht="15">
      <c r="A786" s="278">
        <v>6509910</v>
      </c>
      <c r="B786" s="179"/>
      <c r="C786" s="182"/>
      <c r="D786" s="179"/>
      <c r="E786" s="179"/>
      <c r="T786" s="31">
        <v>174027</v>
      </c>
    </row>
    <row r="787" spans="1:20" ht="15">
      <c r="A787" s="278">
        <v>6509911</v>
      </c>
      <c r="B787" s="179"/>
      <c r="C787" s="182"/>
      <c r="D787" s="179"/>
      <c r="E787" s="286"/>
      <c r="T787" s="31">
        <v>194041</v>
      </c>
    </row>
    <row r="788" spans="1:20" ht="15">
      <c r="A788" s="278">
        <v>6509912</v>
      </c>
      <c r="B788" s="179"/>
      <c r="C788" s="182"/>
      <c r="D788" s="179"/>
      <c r="E788" s="286"/>
      <c r="T788" s="31">
        <v>164127</v>
      </c>
    </row>
    <row r="789" spans="1:20" ht="15">
      <c r="A789" s="278">
        <v>6509829</v>
      </c>
      <c r="B789" s="179"/>
      <c r="C789" s="182"/>
      <c r="D789" s="179"/>
      <c r="E789" s="179"/>
      <c r="T789" s="31">
        <v>154323</v>
      </c>
    </row>
    <row r="790" spans="1:20" ht="15">
      <c r="A790" s="278">
        <v>6509830</v>
      </c>
      <c r="B790" s="179"/>
      <c r="C790" s="182"/>
      <c r="D790" s="179"/>
      <c r="E790" s="286"/>
      <c r="T790" s="31">
        <v>174131</v>
      </c>
    </row>
    <row r="791" spans="1:20" ht="15">
      <c r="A791" s="278">
        <v>6509831</v>
      </c>
      <c r="B791" s="179"/>
      <c r="C791" s="182"/>
      <c r="D791" s="179"/>
      <c r="E791" s="286"/>
      <c r="T791" s="31">
        <v>184036</v>
      </c>
    </row>
    <row r="792" spans="1:20" ht="15">
      <c r="A792" s="278">
        <v>6509832</v>
      </c>
      <c r="B792" s="179"/>
      <c r="C792" s="182"/>
      <c r="D792" s="179"/>
      <c r="E792" s="286"/>
      <c r="T792" s="31">
        <v>174015</v>
      </c>
    </row>
    <row r="793" spans="1:20" ht="15">
      <c r="A793" s="278">
        <v>6509833</v>
      </c>
      <c r="B793" s="179"/>
      <c r="C793" s="182"/>
      <c r="D793" s="179"/>
      <c r="E793" s="286"/>
      <c r="T793" s="31">
        <v>183921</v>
      </c>
    </row>
    <row r="794" spans="1:20" ht="15">
      <c r="A794" s="278">
        <v>6509834</v>
      </c>
      <c r="B794" s="179"/>
      <c r="C794" s="182"/>
      <c r="D794" s="179"/>
      <c r="E794" s="286"/>
      <c r="T794" s="31">
        <v>194030</v>
      </c>
    </row>
    <row r="795" spans="1:20" ht="15">
      <c r="A795" s="278">
        <v>6509835</v>
      </c>
      <c r="B795" s="179"/>
      <c r="C795" s="182"/>
      <c r="D795" s="179"/>
      <c r="E795" s="286"/>
      <c r="T795" s="31">
        <v>194026</v>
      </c>
    </row>
    <row r="796" spans="1:20" ht="15">
      <c r="A796" s="278">
        <v>6509836</v>
      </c>
      <c r="B796" s="180"/>
      <c r="C796" s="182"/>
      <c r="D796" s="179"/>
      <c r="E796" s="286"/>
      <c r="T796" s="31">
        <v>194118</v>
      </c>
    </row>
    <row r="797" spans="1:20" ht="15">
      <c r="A797" s="278">
        <v>6509837</v>
      </c>
      <c r="B797" s="179"/>
      <c r="C797" s="182"/>
      <c r="D797" s="179"/>
      <c r="E797" s="286"/>
      <c r="T797" s="31">
        <v>194028</v>
      </c>
    </row>
    <row r="798" spans="1:20" ht="15">
      <c r="A798" s="278">
        <v>6509838</v>
      </c>
      <c r="B798" s="179"/>
      <c r="C798" s="182"/>
      <c r="D798" s="179"/>
      <c r="E798" s="286"/>
      <c r="T798" s="31">
        <v>164021</v>
      </c>
    </row>
    <row r="799" spans="1:20" ht="15">
      <c r="A799" s="278">
        <v>6509839</v>
      </c>
      <c r="B799" s="179"/>
      <c r="C799" s="182"/>
      <c r="D799" s="179"/>
      <c r="E799" s="286"/>
      <c r="T799" s="31">
        <v>173923</v>
      </c>
    </row>
    <row r="800" spans="1:20" ht="15">
      <c r="A800" s="278">
        <v>6509840</v>
      </c>
      <c r="B800" s="179"/>
      <c r="C800" s="182"/>
      <c r="D800" s="179"/>
      <c r="E800" s="286"/>
      <c r="T800" s="31">
        <v>184027</v>
      </c>
    </row>
    <row r="801" spans="1:20" ht="15">
      <c r="A801" s="278">
        <v>6509915</v>
      </c>
      <c r="B801" s="179"/>
      <c r="C801" s="182"/>
      <c r="D801" s="179"/>
      <c r="E801" s="179"/>
      <c r="T801" s="31">
        <v>183928</v>
      </c>
    </row>
    <row r="802" spans="1:20" ht="15">
      <c r="A802" s="278">
        <v>6509916</v>
      </c>
      <c r="B802" s="179"/>
      <c r="C802" s="182"/>
      <c r="D802" s="179"/>
      <c r="E802" s="179"/>
      <c r="T802" s="31">
        <v>194039</v>
      </c>
    </row>
    <row r="803" spans="1:20" ht="15">
      <c r="A803" s="278">
        <v>6509917</v>
      </c>
      <c r="B803" s="179"/>
      <c r="C803" s="182"/>
      <c r="D803" s="179"/>
      <c r="E803" s="286"/>
      <c r="T803" s="31">
        <v>144112</v>
      </c>
    </row>
    <row r="804" spans="1:20" ht="15">
      <c r="A804" s="278">
        <v>6509918</v>
      </c>
      <c r="B804" s="179"/>
      <c r="C804" s="182"/>
      <c r="D804" s="179"/>
      <c r="E804" s="286"/>
      <c r="T804" s="31">
        <v>144121</v>
      </c>
    </row>
    <row r="805" spans="1:20" ht="15">
      <c r="A805" s="278">
        <v>6509919</v>
      </c>
      <c r="B805" s="179"/>
      <c r="C805" s="182"/>
      <c r="D805" s="179"/>
      <c r="E805" s="286"/>
      <c r="T805" s="31">
        <v>153920</v>
      </c>
    </row>
    <row r="806" spans="1:20" ht="15">
      <c r="A806" s="278">
        <v>6509920</v>
      </c>
      <c r="B806" s="179"/>
      <c r="C806" s="182"/>
      <c r="D806" s="179"/>
      <c r="E806" s="286"/>
      <c r="T806" s="31">
        <v>164020</v>
      </c>
    </row>
    <row r="807" spans="1:20" ht="15">
      <c r="A807" s="278">
        <v>6509921</v>
      </c>
      <c r="B807" s="179"/>
      <c r="C807" s="182"/>
      <c r="D807" s="179"/>
      <c r="E807" s="286"/>
      <c r="T807" s="31">
        <v>173919</v>
      </c>
    </row>
    <row r="808" spans="1:20" ht="15">
      <c r="A808" s="278">
        <v>6509922</v>
      </c>
      <c r="B808" s="179"/>
      <c r="C808" s="182"/>
      <c r="D808" s="179"/>
      <c r="E808" s="286"/>
      <c r="T808" s="31">
        <v>164031</v>
      </c>
    </row>
    <row r="809" spans="1:20" ht="15">
      <c r="A809" s="278">
        <v>6509923</v>
      </c>
      <c r="B809" s="179"/>
      <c r="C809" s="182"/>
      <c r="D809" s="179"/>
      <c r="E809" s="286"/>
      <c r="T809" s="31">
        <v>173934</v>
      </c>
    </row>
    <row r="810" spans="1:20" ht="15">
      <c r="A810" s="278">
        <v>6509924</v>
      </c>
      <c r="B810" s="179"/>
      <c r="C810" s="182"/>
      <c r="D810" s="179"/>
      <c r="E810" s="179"/>
      <c r="T810" s="31">
        <v>144106</v>
      </c>
    </row>
    <row r="811" spans="1:20" ht="15">
      <c r="A811" s="278">
        <v>6509925</v>
      </c>
      <c r="B811" s="179"/>
      <c r="C811" s="182"/>
      <c r="D811" s="179"/>
      <c r="E811" s="179"/>
      <c r="T811" s="31">
        <v>144110</v>
      </c>
    </row>
    <row r="812" spans="1:20" ht="15">
      <c r="A812" s="278">
        <v>6509926</v>
      </c>
      <c r="B812" s="179"/>
      <c r="C812" s="182"/>
      <c r="D812" s="180"/>
      <c r="E812" s="286"/>
      <c r="T812" s="31">
        <v>163919</v>
      </c>
    </row>
    <row r="813" spans="1:20" ht="15">
      <c r="A813" s="278">
        <v>6509927</v>
      </c>
      <c r="B813" s="179"/>
      <c r="C813" s="182"/>
      <c r="D813" s="179"/>
      <c r="E813" s="286"/>
      <c r="T813" s="31">
        <v>174030</v>
      </c>
    </row>
    <row r="814" spans="1:20" ht="15">
      <c r="A814" s="278">
        <v>6509928</v>
      </c>
      <c r="B814" s="179"/>
      <c r="C814" s="182"/>
      <c r="D814" s="179"/>
      <c r="E814" s="286"/>
      <c r="T814" s="31">
        <v>183937</v>
      </c>
    </row>
    <row r="815" spans="1:20" ht="15">
      <c r="A815" s="278">
        <v>6509929</v>
      </c>
      <c r="B815" s="179"/>
      <c r="C815" s="182"/>
      <c r="D815" s="179"/>
      <c r="E815" s="286"/>
      <c r="T815" s="31">
        <v>163911</v>
      </c>
    </row>
    <row r="816" spans="1:20" ht="15">
      <c r="A816" s="278">
        <v>6509930</v>
      </c>
      <c r="B816" s="179"/>
      <c r="C816" s="182"/>
      <c r="D816" s="179"/>
      <c r="E816" s="286"/>
      <c r="T816" s="31">
        <v>173917</v>
      </c>
    </row>
    <row r="817" spans="1:20" ht="15">
      <c r="A817" s="278">
        <v>6509931</v>
      </c>
      <c r="B817" s="179"/>
      <c r="C817" s="182"/>
      <c r="D817" s="179"/>
      <c r="E817" s="286"/>
      <c r="T817" s="31">
        <v>193919</v>
      </c>
    </row>
    <row r="818" spans="1:20" ht="15">
      <c r="A818" s="278">
        <v>6509932</v>
      </c>
      <c r="B818" s="179"/>
      <c r="C818" s="182"/>
      <c r="D818" s="179"/>
      <c r="E818" s="286"/>
      <c r="T818" s="31">
        <v>193928</v>
      </c>
    </row>
    <row r="819" spans="1:20" ht="15">
      <c r="A819" s="278">
        <v>6509946</v>
      </c>
      <c r="B819" s="179"/>
      <c r="C819" s="182"/>
      <c r="D819" s="179"/>
      <c r="E819" s="179"/>
      <c r="T819" s="31">
        <v>193915</v>
      </c>
    </row>
    <row r="820" spans="1:20" ht="15">
      <c r="A820" s="278">
        <v>6509947</v>
      </c>
      <c r="B820" s="179"/>
      <c r="C820" s="182"/>
      <c r="D820" s="179"/>
      <c r="E820" s="179"/>
      <c r="T820" s="31">
        <v>193935</v>
      </c>
    </row>
    <row r="821" spans="1:20" ht="15">
      <c r="A821" s="278">
        <v>6509948</v>
      </c>
      <c r="B821" s="181"/>
      <c r="C821" s="182"/>
      <c r="D821" s="179"/>
      <c r="E821" s="286"/>
      <c r="T821" s="31">
        <v>173922</v>
      </c>
    </row>
    <row r="822" spans="1:20" ht="15">
      <c r="A822" s="278">
        <v>6509949</v>
      </c>
      <c r="B822" s="181"/>
      <c r="C822" s="182"/>
      <c r="D822" s="179"/>
      <c r="E822" s="286"/>
      <c r="T822" s="31">
        <v>183927</v>
      </c>
    </row>
    <row r="823" spans="1:20" ht="15">
      <c r="A823" s="278">
        <v>6509950</v>
      </c>
      <c r="B823" s="181"/>
      <c r="C823" s="182"/>
      <c r="D823" s="179"/>
      <c r="E823" s="286"/>
      <c r="T823" s="31">
        <v>183932</v>
      </c>
    </row>
    <row r="824" spans="1:20" ht="15">
      <c r="A824" s="278">
        <v>6509951</v>
      </c>
      <c r="B824" s="181"/>
      <c r="C824" s="182"/>
      <c r="D824" s="179"/>
      <c r="E824" s="286"/>
      <c r="T824" s="31">
        <v>193939</v>
      </c>
    </row>
    <row r="825" spans="1:20" ht="15">
      <c r="A825" s="278">
        <v>6509952</v>
      </c>
      <c r="B825" s="181"/>
      <c r="C825" s="182"/>
      <c r="D825" s="179"/>
      <c r="E825" s="286"/>
      <c r="T825" s="31">
        <v>193940</v>
      </c>
    </row>
    <row r="826" spans="1:20" ht="15">
      <c r="A826" s="278">
        <v>6509953</v>
      </c>
      <c r="B826" s="181"/>
      <c r="C826" s="182"/>
      <c r="D826" s="179"/>
      <c r="E826" s="286"/>
      <c r="T826" s="31">
        <v>193933</v>
      </c>
    </row>
    <row r="827" spans="1:20" ht="15">
      <c r="A827" s="278">
        <v>6509954</v>
      </c>
      <c r="B827" s="181"/>
      <c r="C827" s="182"/>
      <c r="D827" s="179"/>
      <c r="E827" s="286"/>
      <c r="T827" s="31">
        <v>163930</v>
      </c>
    </row>
    <row r="828" spans="1:20" ht="15">
      <c r="A828" s="278">
        <v>6509955</v>
      </c>
      <c r="B828" s="181"/>
      <c r="C828" s="182"/>
      <c r="D828" s="179"/>
      <c r="E828" s="286"/>
      <c r="T828" s="31">
        <v>183820</v>
      </c>
    </row>
    <row r="829" spans="1:20" ht="15">
      <c r="A829" s="278">
        <v>6509956</v>
      </c>
      <c r="B829" s="279"/>
      <c r="C829" s="182"/>
      <c r="D829" s="179"/>
      <c r="E829" s="179"/>
      <c r="T829" s="31">
        <v>193947</v>
      </c>
    </row>
    <row r="830" spans="1:20" ht="15">
      <c r="A830" s="278">
        <v>6509957</v>
      </c>
      <c r="B830" s="279"/>
      <c r="C830" s="182"/>
      <c r="D830" s="179"/>
      <c r="E830" s="179"/>
      <c r="T830" s="31">
        <v>193951</v>
      </c>
    </row>
    <row r="831" spans="1:20" ht="15">
      <c r="A831" s="278">
        <v>6509958</v>
      </c>
      <c r="B831" s="279"/>
      <c r="C831" s="182"/>
      <c r="D831" s="179"/>
      <c r="E831" s="286"/>
      <c r="T831" s="31">
        <v>193955</v>
      </c>
    </row>
    <row r="832" spans="1:20" ht="15">
      <c r="A832" s="278">
        <v>6509959</v>
      </c>
      <c r="B832" s="279"/>
      <c r="C832" s="182"/>
      <c r="D832" s="179"/>
      <c r="E832" s="286"/>
      <c r="T832" s="31">
        <v>183963</v>
      </c>
    </row>
    <row r="833" spans="1:20" ht="15">
      <c r="A833" s="278">
        <v>6509960</v>
      </c>
      <c r="B833" s="279"/>
      <c r="C833" s="182"/>
      <c r="D833" s="179"/>
      <c r="E833" s="286"/>
      <c r="T833" s="31">
        <v>163931</v>
      </c>
    </row>
    <row r="834" spans="1:20" ht="15">
      <c r="A834" s="278">
        <v>6509961</v>
      </c>
      <c r="B834" s="279"/>
      <c r="C834" s="182"/>
      <c r="D834" s="179"/>
      <c r="E834" s="286"/>
      <c r="T834" s="31">
        <v>173932</v>
      </c>
    </row>
    <row r="835" spans="1:20" ht="15">
      <c r="A835" s="278">
        <v>6509962</v>
      </c>
      <c r="B835" s="279"/>
      <c r="C835" s="182"/>
      <c r="D835" s="179"/>
      <c r="E835" s="286"/>
      <c r="T835" s="31">
        <v>183944</v>
      </c>
    </row>
    <row r="836" spans="1:20" ht="15">
      <c r="A836" s="278">
        <v>6509963</v>
      </c>
      <c r="B836" s="279"/>
      <c r="C836" s="182"/>
      <c r="D836" s="179"/>
      <c r="E836" s="286"/>
      <c r="T836" s="31">
        <v>153807</v>
      </c>
    </row>
    <row r="837" spans="1:20" ht="15">
      <c r="A837" s="278">
        <v>6509964</v>
      </c>
      <c r="B837" s="279"/>
      <c r="C837" s="182"/>
      <c r="D837" s="179"/>
      <c r="E837" s="286"/>
      <c r="T837" s="31">
        <v>153909</v>
      </c>
    </row>
    <row r="838" spans="1:20" ht="15">
      <c r="A838" s="278">
        <v>6509965</v>
      </c>
      <c r="B838" s="279"/>
      <c r="C838" s="182"/>
      <c r="D838" s="179"/>
      <c r="E838" s="286"/>
      <c r="T838" s="31">
        <v>153910</v>
      </c>
    </row>
    <row r="839" spans="1:20" ht="15">
      <c r="A839" s="278">
        <v>6509966</v>
      </c>
      <c r="B839" s="279"/>
      <c r="C839" s="182"/>
      <c r="D839" s="179"/>
      <c r="E839" s="179"/>
      <c r="T839" s="31">
        <v>163907</v>
      </c>
    </row>
    <row r="840" spans="1:20" ht="15">
      <c r="A840" s="278">
        <v>6509967</v>
      </c>
      <c r="B840" s="280"/>
      <c r="C840" s="182"/>
      <c r="D840" s="179"/>
      <c r="E840" s="286"/>
      <c r="T840" s="31">
        <v>183930</v>
      </c>
    </row>
    <row r="841" spans="1:20" ht="15">
      <c r="A841" s="278">
        <v>6509968</v>
      </c>
      <c r="B841" s="279"/>
      <c r="C841" s="182"/>
      <c r="D841" s="179"/>
      <c r="E841" s="286"/>
      <c r="T841" s="31">
        <v>183817</v>
      </c>
    </row>
    <row r="842" spans="1:20" ht="15">
      <c r="A842" s="278">
        <v>6509969</v>
      </c>
      <c r="B842" s="279"/>
      <c r="C842" s="182"/>
      <c r="D842" s="179"/>
      <c r="E842" s="286"/>
      <c r="T842" s="32">
        <v>193936</v>
      </c>
    </row>
    <row r="843" spans="1:20" ht="15">
      <c r="A843" s="278">
        <v>6509970</v>
      </c>
      <c r="B843" s="279"/>
      <c r="C843" s="182"/>
      <c r="D843" s="179"/>
      <c r="E843" s="286"/>
      <c r="T843" s="32">
        <v>193832</v>
      </c>
    </row>
    <row r="844" spans="1:20" ht="15">
      <c r="A844" s="278">
        <v>6509971</v>
      </c>
      <c r="B844" s="279"/>
      <c r="C844" s="182"/>
      <c r="D844" s="179"/>
      <c r="E844" s="286"/>
      <c r="T844" s="32">
        <v>193842</v>
      </c>
    </row>
    <row r="845" spans="1:20" ht="15">
      <c r="A845" s="278">
        <v>6509972</v>
      </c>
      <c r="B845" s="279"/>
      <c r="C845" s="182"/>
      <c r="D845" s="179"/>
      <c r="E845" s="286"/>
      <c r="T845" s="32">
        <v>193830</v>
      </c>
    </row>
    <row r="846" spans="1:20" ht="15">
      <c r="A846" s="278">
        <v>6509973</v>
      </c>
      <c r="B846" s="279"/>
      <c r="C846" s="182"/>
      <c r="D846" s="179"/>
      <c r="E846" s="286"/>
      <c r="T846" s="32">
        <v>183828</v>
      </c>
    </row>
    <row r="847" spans="1:20" ht="15">
      <c r="A847" s="278">
        <v>6509974</v>
      </c>
      <c r="B847" s="182"/>
      <c r="C847" s="182"/>
      <c r="D847" s="179"/>
      <c r="E847" s="182"/>
      <c r="T847" s="33">
        <v>183943</v>
      </c>
    </row>
    <row r="848" spans="1:20" ht="15">
      <c r="A848" s="278">
        <v>6509975</v>
      </c>
      <c r="B848" s="182"/>
      <c r="C848" s="182"/>
      <c r="D848" s="179"/>
      <c r="E848" s="182"/>
      <c r="T848" s="32">
        <v>193737</v>
      </c>
    </row>
    <row r="849" spans="1:20" ht="15">
      <c r="A849" s="278">
        <v>6509976</v>
      </c>
      <c r="B849" s="182"/>
      <c r="C849" s="182"/>
      <c r="D849" s="179"/>
      <c r="E849" s="286"/>
      <c r="T849" s="32">
        <v>193632</v>
      </c>
    </row>
    <row r="850" spans="1:20" ht="15">
      <c r="A850" s="278">
        <v>6509977</v>
      </c>
      <c r="B850" s="182"/>
      <c r="C850" s="182"/>
      <c r="D850" s="179"/>
      <c r="E850" s="286"/>
      <c r="T850" s="33">
        <v>163110</v>
      </c>
    </row>
    <row r="851" spans="1:20" ht="15">
      <c r="A851" s="278">
        <v>6509978</v>
      </c>
      <c r="B851" s="182"/>
      <c r="C851" s="182"/>
      <c r="D851" s="179"/>
      <c r="E851" s="286"/>
      <c r="T851" s="32">
        <v>163525</v>
      </c>
    </row>
    <row r="852" spans="1:20" ht="15">
      <c r="A852" s="281">
        <v>6509580</v>
      </c>
      <c r="B852" s="179"/>
      <c r="C852" s="182"/>
      <c r="D852" s="179"/>
      <c r="E852" s="286"/>
      <c r="T852" s="33">
        <v>163815</v>
      </c>
    </row>
    <row r="853" spans="1:20">
      <c r="A853" s="182">
        <v>6506493</v>
      </c>
      <c r="B853" s="179"/>
      <c r="C853" s="182"/>
      <c r="D853" s="179"/>
      <c r="E853" s="286"/>
      <c r="T853" s="33">
        <v>173612</v>
      </c>
    </row>
    <row r="854" spans="1:20">
      <c r="A854" s="182">
        <v>6506387</v>
      </c>
      <c r="B854" s="179"/>
      <c r="C854" s="182"/>
      <c r="D854" s="179"/>
      <c r="E854" s="286"/>
      <c r="T854" s="33">
        <v>183513</v>
      </c>
    </row>
    <row r="855" spans="1:20" ht="15">
      <c r="A855" s="182">
        <v>6508868</v>
      </c>
      <c r="B855" s="279"/>
      <c r="C855" s="182"/>
      <c r="D855" s="179"/>
      <c r="E855" s="286"/>
      <c r="T855" s="33">
        <v>183715</v>
      </c>
    </row>
    <row r="856" spans="1:20" ht="15">
      <c r="A856" s="182">
        <v>6508869</v>
      </c>
      <c r="B856" s="279"/>
      <c r="C856" s="182"/>
      <c r="D856" s="179"/>
      <c r="E856" s="286"/>
      <c r="T856" s="33">
        <v>153620</v>
      </c>
    </row>
    <row r="857" spans="1:20" ht="15">
      <c r="A857" s="182">
        <v>6508871</v>
      </c>
      <c r="B857" s="279"/>
      <c r="C857" s="182"/>
      <c r="D857" s="179"/>
      <c r="E857" s="286"/>
      <c r="T857" s="33">
        <v>153817</v>
      </c>
    </row>
    <row r="858" spans="1:20" ht="15">
      <c r="A858" s="182">
        <v>6509948</v>
      </c>
      <c r="B858" s="279"/>
      <c r="C858" s="182"/>
      <c r="D858" s="179"/>
      <c r="E858" s="182"/>
      <c r="T858" s="33">
        <v>173725</v>
      </c>
    </row>
    <row r="859" spans="1:20" ht="15">
      <c r="A859" s="182">
        <v>6509952</v>
      </c>
      <c r="B859" s="279"/>
      <c r="C859" s="182"/>
      <c r="D859" s="179"/>
      <c r="E859" s="182"/>
      <c r="T859" s="33">
        <v>183518</v>
      </c>
    </row>
    <row r="860" spans="1:20" ht="15">
      <c r="A860" s="182">
        <v>6508874</v>
      </c>
      <c r="B860" s="279"/>
      <c r="C860" s="182"/>
      <c r="D860" s="179"/>
      <c r="E860" s="286"/>
      <c r="T860" s="33">
        <v>193622</v>
      </c>
    </row>
    <row r="861" spans="1:20" ht="15">
      <c r="A861" s="182">
        <v>6509950</v>
      </c>
      <c r="B861" s="279"/>
      <c r="C861" s="182"/>
      <c r="D861" s="179"/>
      <c r="E861" s="286"/>
      <c r="T861" s="33">
        <v>193514</v>
      </c>
    </row>
    <row r="862" spans="1:20" ht="15">
      <c r="A862" s="182">
        <v>6510382</v>
      </c>
      <c r="B862" s="279"/>
      <c r="C862" s="182"/>
      <c r="D862" s="179"/>
      <c r="E862" s="286"/>
      <c r="T862" s="33">
        <v>193640</v>
      </c>
    </row>
    <row r="863" spans="1:20" ht="15">
      <c r="A863" s="182">
        <v>6508882</v>
      </c>
      <c r="B863" s="279"/>
      <c r="C863" s="182"/>
      <c r="D863" s="179"/>
      <c r="E863" s="286"/>
      <c r="T863" s="33">
        <v>193542</v>
      </c>
    </row>
    <row r="864" spans="1:20" ht="15">
      <c r="A864" s="182">
        <v>6508863</v>
      </c>
      <c r="B864" s="279"/>
      <c r="C864" s="182"/>
      <c r="D864" s="179"/>
      <c r="E864" s="286"/>
      <c r="T864" s="33">
        <v>173619</v>
      </c>
    </row>
    <row r="865" spans="1:20" ht="15">
      <c r="A865" s="182">
        <v>6509946</v>
      </c>
      <c r="B865" s="279"/>
      <c r="C865" s="182"/>
      <c r="D865" s="179"/>
      <c r="E865" s="179"/>
      <c r="T865" s="33">
        <v>183520</v>
      </c>
    </row>
    <row r="866" spans="1:20" ht="15">
      <c r="A866" s="182">
        <v>6509955</v>
      </c>
      <c r="B866" s="279"/>
      <c r="C866" s="182"/>
      <c r="D866" s="179"/>
      <c r="E866" s="286"/>
      <c r="T866" s="33">
        <v>193526</v>
      </c>
    </row>
    <row r="867" spans="1:20" ht="15">
      <c r="A867" s="182">
        <v>6509954</v>
      </c>
      <c r="B867" s="279"/>
      <c r="C867" s="182"/>
      <c r="D867" s="179"/>
      <c r="E867" s="286"/>
      <c r="T867" s="33">
        <v>163617</v>
      </c>
    </row>
    <row r="868" spans="1:20" ht="15">
      <c r="A868" s="182">
        <v>6508875</v>
      </c>
      <c r="B868" s="279"/>
      <c r="C868" s="182"/>
      <c r="D868" s="179"/>
      <c r="E868" s="286"/>
      <c r="T868" s="33">
        <v>153507</v>
      </c>
    </row>
    <row r="869" spans="1:20" ht="15">
      <c r="A869" s="182">
        <v>6509949</v>
      </c>
      <c r="B869" s="279"/>
      <c r="C869" s="182"/>
      <c r="D869" s="179"/>
      <c r="E869" s="286"/>
      <c r="T869" s="33">
        <v>150703</v>
      </c>
    </row>
    <row r="870" spans="1:20" ht="15">
      <c r="A870" s="182">
        <v>6509953</v>
      </c>
      <c r="B870" s="279"/>
      <c r="C870" s="182"/>
      <c r="D870" s="179"/>
      <c r="E870" s="286"/>
      <c r="T870" s="33">
        <v>172601</v>
      </c>
    </row>
    <row r="871" spans="1:20" ht="15">
      <c r="A871" s="182">
        <v>6509951</v>
      </c>
      <c r="B871" s="279"/>
      <c r="C871" s="182"/>
      <c r="D871" s="179"/>
      <c r="E871" s="182"/>
      <c r="T871" s="33">
        <v>173802</v>
      </c>
    </row>
    <row r="872" spans="1:20" ht="15">
      <c r="A872" s="182">
        <v>6509947</v>
      </c>
      <c r="B872" s="279"/>
      <c r="C872" s="182"/>
      <c r="D872" s="179"/>
      <c r="E872" s="182"/>
      <c r="T872" s="33">
        <v>181703</v>
      </c>
    </row>
    <row r="873" spans="1:20">
      <c r="A873" s="182">
        <v>6509804</v>
      </c>
      <c r="B873" s="179"/>
      <c r="C873" s="182"/>
      <c r="D873" s="179"/>
      <c r="E873" s="179"/>
      <c r="T873" s="33">
        <v>181404</v>
      </c>
    </row>
    <row r="874" spans="1:20">
      <c r="A874" s="182">
        <v>6509805</v>
      </c>
      <c r="B874" s="179"/>
      <c r="C874" s="182"/>
      <c r="D874" s="179"/>
      <c r="E874" s="179"/>
      <c r="T874" s="33">
        <v>163812</v>
      </c>
    </row>
    <row r="875" spans="1:20">
      <c r="A875" s="182">
        <v>6509436</v>
      </c>
      <c r="B875" s="179"/>
      <c r="C875" s="182"/>
      <c r="D875" s="179"/>
      <c r="E875" s="286"/>
      <c r="T875" s="33">
        <v>163810</v>
      </c>
    </row>
    <row r="876" spans="1:20">
      <c r="A876" s="182">
        <v>6509812</v>
      </c>
      <c r="B876" s="179"/>
      <c r="C876" s="182"/>
      <c r="D876" s="179"/>
      <c r="E876" s="286"/>
      <c r="T876" s="33">
        <v>173812</v>
      </c>
    </row>
    <row r="877" spans="1:20">
      <c r="A877" s="182">
        <v>6509438</v>
      </c>
      <c r="B877" s="179"/>
      <c r="C877" s="182"/>
      <c r="D877" s="179"/>
      <c r="E877" s="286"/>
      <c r="T877" s="33">
        <v>183812</v>
      </c>
    </row>
    <row r="878" spans="1:20">
      <c r="A878" s="182">
        <v>6506525</v>
      </c>
      <c r="B878" s="179"/>
      <c r="C878" s="182"/>
      <c r="D878" s="179"/>
      <c r="E878" s="286"/>
      <c r="T878" s="33">
        <v>193716</v>
      </c>
    </row>
    <row r="879" spans="1:20">
      <c r="A879" s="182">
        <v>6509182</v>
      </c>
      <c r="B879" s="179"/>
      <c r="C879" s="182"/>
      <c r="D879" s="179"/>
      <c r="E879" s="286"/>
      <c r="T879" s="33">
        <v>143904</v>
      </c>
    </row>
    <row r="880" spans="1:20">
      <c r="A880" s="182">
        <v>6510005</v>
      </c>
      <c r="B880" s="179"/>
      <c r="C880" s="182"/>
      <c r="D880" s="179"/>
      <c r="E880" s="182"/>
      <c r="T880" s="33">
        <v>173906</v>
      </c>
    </row>
    <row r="881" spans="1:20">
      <c r="A881" s="182">
        <v>6510006</v>
      </c>
      <c r="B881" s="179"/>
      <c r="C881" s="182"/>
      <c r="D881" s="179"/>
      <c r="E881" s="182"/>
      <c r="T881" s="33">
        <v>183710</v>
      </c>
    </row>
    <row r="882" spans="1:20">
      <c r="A882" s="182">
        <v>6509180</v>
      </c>
      <c r="B882" s="179"/>
      <c r="C882" s="182"/>
      <c r="D882" s="179"/>
      <c r="E882" s="286"/>
      <c r="T882" s="33">
        <v>183712</v>
      </c>
    </row>
    <row r="883" spans="1:20">
      <c r="A883" s="182">
        <v>6510007</v>
      </c>
      <c r="B883" s="179"/>
      <c r="C883" s="182"/>
      <c r="D883" s="179"/>
      <c r="E883" s="179"/>
      <c r="T883" s="33">
        <v>133805</v>
      </c>
    </row>
    <row r="884" spans="1:20" ht="15">
      <c r="A884" s="282">
        <v>6509828</v>
      </c>
      <c r="B884" s="282"/>
      <c r="C884" s="182"/>
      <c r="D884" s="179"/>
      <c r="E884" s="182"/>
      <c r="T884" s="33">
        <v>143805</v>
      </c>
    </row>
    <row r="885" spans="1:20" ht="15">
      <c r="A885" s="282">
        <v>6510317</v>
      </c>
      <c r="B885" s="282"/>
      <c r="C885" s="182"/>
      <c r="D885" s="179"/>
      <c r="E885" s="182"/>
      <c r="T885" s="33">
        <v>163304</v>
      </c>
    </row>
    <row r="886" spans="1:20" ht="15">
      <c r="A886" s="282">
        <v>6509672</v>
      </c>
      <c r="B886" s="282"/>
      <c r="C886" s="182"/>
      <c r="D886" s="179"/>
      <c r="E886" s="182"/>
      <c r="T886" s="33">
        <v>171605</v>
      </c>
    </row>
    <row r="887" spans="1:20" ht="15">
      <c r="A887" s="282">
        <v>6509676</v>
      </c>
      <c r="B887" s="282"/>
      <c r="C887" s="182"/>
      <c r="D887" s="179"/>
      <c r="E887" s="182"/>
      <c r="T887" s="33">
        <v>181706</v>
      </c>
    </row>
    <row r="888" spans="1:20" ht="15">
      <c r="A888" s="282">
        <v>6509577</v>
      </c>
      <c r="B888" s="282"/>
      <c r="C888" s="182"/>
      <c r="D888" s="179"/>
      <c r="E888" s="182"/>
      <c r="T888" s="33">
        <v>181405</v>
      </c>
    </row>
    <row r="889" spans="1:20" ht="15">
      <c r="A889" s="282">
        <v>6509578</v>
      </c>
      <c r="B889" s="282"/>
      <c r="C889" s="182"/>
      <c r="D889" s="179"/>
      <c r="E889" s="182"/>
      <c r="T889" s="33">
        <v>191624</v>
      </c>
    </row>
    <row r="890" spans="1:20" ht="15">
      <c r="A890" s="282">
        <v>6506387</v>
      </c>
      <c r="B890" s="282"/>
      <c r="C890" s="182"/>
      <c r="D890" s="179"/>
      <c r="E890" s="182"/>
      <c r="T890" s="33">
        <v>133803</v>
      </c>
    </row>
    <row r="891" spans="1:20" ht="15">
      <c r="A891" s="282">
        <v>6507466</v>
      </c>
      <c r="B891" s="282"/>
      <c r="C891" s="182"/>
      <c r="D891" s="179"/>
      <c r="E891" s="182"/>
      <c r="T891" s="33">
        <v>143803</v>
      </c>
    </row>
    <row r="892" spans="1:20" ht="15">
      <c r="A892" s="282">
        <v>6507467</v>
      </c>
      <c r="B892" s="282"/>
      <c r="C892" s="182"/>
      <c r="D892" s="179"/>
      <c r="E892" s="182"/>
      <c r="T892" s="33">
        <v>153802</v>
      </c>
    </row>
    <row r="893" spans="1:20" ht="15">
      <c r="A893" s="282">
        <v>6507566</v>
      </c>
      <c r="B893" s="282"/>
      <c r="C893" s="182"/>
      <c r="D893" s="179"/>
      <c r="E893" s="286"/>
      <c r="T893" s="33">
        <v>171505</v>
      </c>
    </row>
    <row r="894" spans="1:20" ht="15">
      <c r="A894" s="282">
        <v>6507580</v>
      </c>
      <c r="B894" s="282"/>
      <c r="C894" s="182"/>
      <c r="D894" s="179"/>
      <c r="E894" s="182"/>
      <c r="T894" s="33">
        <v>173808</v>
      </c>
    </row>
    <row r="895" spans="1:20" ht="15">
      <c r="A895" s="282">
        <v>6507581</v>
      </c>
      <c r="B895" s="282"/>
      <c r="C895" s="182"/>
      <c r="D895" s="179"/>
      <c r="E895" s="182"/>
      <c r="T895" s="33">
        <v>193620</v>
      </c>
    </row>
    <row r="896" spans="1:20" ht="15">
      <c r="A896" s="282">
        <v>6505083</v>
      </c>
      <c r="B896" s="282"/>
      <c r="C896" s="182"/>
      <c r="D896" s="179"/>
      <c r="E896" s="182"/>
      <c r="T896" s="33">
        <v>193722</v>
      </c>
    </row>
    <row r="897" spans="1:20" ht="15">
      <c r="A897" s="282">
        <v>6507584</v>
      </c>
      <c r="B897" s="282"/>
      <c r="C897" s="182"/>
      <c r="D897" s="179"/>
      <c r="E897" s="182"/>
      <c r="T897" s="33">
        <v>193720</v>
      </c>
    </row>
    <row r="898" spans="1:20" ht="15">
      <c r="A898" s="282">
        <v>6507585</v>
      </c>
      <c r="B898" s="282"/>
      <c r="C898" s="182"/>
      <c r="D898" s="179"/>
      <c r="E898" s="182"/>
      <c r="T898" s="33">
        <v>193728</v>
      </c>
    </row>
    <row r="899" spans="1:20" ht="15">
      <c r="A899" s="282">
        <v>6507591</v>
      </c>
      <c r="B899" s="282"/>
      <c r="C899" s="182"/>
      <c r="D899" s="179"/>
      <c r="E899" s="182"/>
      <c r="T899" s="33">
        <v>193617</v>
      </c>
    </row>
    <row r="900" spans="1:20" ht="15">
      <c r="A900" s="282">
        <v>6507594</v>
      </c>
      <c r="B900" s="282"/>
      <c r="C900" s="182"/>
      <c r="D900" s="179"/>
      <c r="E900" s="179"/>
      <c r="T900" s="33">
        <v>193725</v>
      </c>
    </row>
    <row r="901" spans="1:20" ht="15">
      <c r="A901" s="282">
        <v>6507595</v>
      </c>
      <c r="B901" s="282"/>
      <c r="C901" s="182"/>
      <c r="D901" s="179"/>
      <c r="E901" s="182"/>
      <c r="T901" s="33">
        <v>193712</v>
      </c>
    </row>
    <row r="902" spans="1:20" ht="15">
      <c r="A902" s="282">
        <v>6507773</v>
      </c>
      <c r="B902" s="282"/>
      <c r="C902" s="182"/>
      <c r="D902" s="179"/>
      <c r="E902" s="182"/>
      <c r="T902" s="33">
        <v>193714</v>
      </c>
    </row>
    <row r="903" spans="1:20" ht="15">
      <c r="A903" s="282">
        <v>6509788</v>
      </c>
      <c r="B903" s="282"/>
      <c r="C903" s="182"/>
      <c r="D903" s="179"/>
      <c r="E903" s="182"/>
      <c r="T903" s="33">
        <v>193215</v>
      </c>
    </row>
    <row r="904" spans="1:20" ht="15">
      <c r="A904" s="282">
        <v>6509789</v>
      </c>
      <c r="B904" s="282"/>
      <c r="C904" s="182"/>
      <c r="D904" s="179"/>
      <c r="E904" s="182"/>
      <c r="T904" s="33">
        <v>193519</v>
      </c>
    </row>
    <row r="905" spans="1:20" ht="15">
      <c r="A905" s="282">
        <v>6509790</v>
      </c>
      <c r="B905" s="282"/>
      <c r="C905" s="182"/>
      <c r="D905" s="179"/>
      <c r="E905" s="182"/>
      <c r="T905" s="33">
        <v>193316</v>
      </c>
    </row>
    <row r="906" spans="1:20" ht="15">
      <c r="A906" s="282">
        <v>6507567</v>
      </c>
      <c r="B906" s="282"/>
      <c r="C906" s="182"/>
      <c r="D906" s="179"/>
      <c r="E906" s="182"/>
      <c r="T906" s="33">
        <v>193619</v>
      </c>
    </row>
    <row r="907" spans="1:20" ht="15">
      <c r="A907" s="282">
        <v>6509579</v>
      </c>
      <c r="B907" s="282"/>
      <c r="C907" s="182"/>
      <c r="D907" s="179"/>
      <c r="E907" s="182"/>
      <c r="T907" s="33">
        <v>193520</v>
      </c>
    </row>
    <row r="908" spans="1:20" ht="15">
      <c r="A908" s="282">
        <v>6509830</v>
      </c>
      <c r="B908" s="282"/>
      <c r="C908" s="182"/>
      <c r="D908" s="179"/>
      <c r="E908" s="182"/>
      <c r="T908" s="33">
        <v>183415</v>
      </c>
    </row>
    <row r="909" spans="1:20" ht="15">
      <c r="A909" s="282">
        <v>6509835</v>
      </c>
      <c r="B909" s="282"/>
      <c r="C909" s="182"/>
      <c r="D909" s="179"/>
      <c r="E909" s="182"/>
      <c r="T909" s="33">
        <v>193323</v>
      </c>
    </row>
    <row r="910" spans="1:20" ht="15">
      <c r="A910" s="282">
        <v>6510322</v>
      </c>
      <c r="B910" s="282"/>
      <c r="C910" s="182"/>
      <c r="D910" s="179"/>
      <c r="E910" s="181"/>
      <c r="T910" s="33">
        <v>193218</v>
      </c>
    </row>
    <row r="911" spans="1:20" ht="15">
      <c r="A911" s="282">
        <v>6510373</v>
      </c>
      <c r="B911" s="282"/>
      <c r="C911" s="182"/>
      <c r="D911" s="179"/>
      <c r="E911" s="181"/>
      <c r="T911" s="33">
        <v>192009</v>
      </c>
    </row>
    <row r="912" spans="1:20" ht="15">
      <c r="A912" s="282">
        <v>6509592</v>
      </c>
      <c r="B912" s="282"/>
      <c r="C912" s="182"/>
      <c r="D912" s="179"/>
      <c r="E912" s="182"/>
      <c r="T912" s="33">
        <v>183418</v>
      </c>
    </row>
    <row r="913" spans="1:20" ht="15">
      <c r="A913" s="282">
        <v>6506146</v>
      </c>
      <c r="B913" s="282"/>
      <c r="C913" s="182"/>
      <c r="D913" s="179"/>
      <c r="E913" s="182"/>
      <c r="T913" s="33">
        <v>183522</v>
      </c>
    </row>
    <row r="914" spans="1:20" ht="15">
      <c r="A914" s="282">
        <v>6506573</v>
      </c>
      <c r="B914" s="282"/>
      <c r="C914" s="182"/>
      <c r="D914" s="179"/>
      <c r="E914" s="182"/>
      <c r="T914" s="33">
        <v>193924</v>
      </c>
    </row>
    <row r="915" spans="1:20" ht="15">
      <c r="A915" s="282">
        <v>6505249</v>
      </c>
      <c r="B915" s="282"/>
      <c r="C915" s="182"/>
      <c r="D915" s="179"/>
      <c r="E915" s="182"/>
      <c r="T915" s="33">
        <v>193325</v>
      </c>
    </row>
    <row r="916" spans="1:20" ht="15">
      <c r="A916" s="282">
        <v>6505277</v>
      </c>
      <c r="B916" s="282"/>
      <c r="C916" s="182"/>
      <c r="D916" s="179"/>
      <c r="E916" s="286"/>
      <c r="T916" s="33">
        <v>192524</v>
      </c>
    </row>
    <row r="917" spans="1:20" ht="15">
      <c r="A917" s="282">
        <v>6508878</v>
      </c>
      <c r="B917" s="282"/>
      <c r="C917" s="182"/>
      <c r="D917" s="179"/>
      <c r="E917" s="182"/>
      <c r="T917" s="34">
        <v>163310</v>
      </c>
    </row>
    <row r="918" spans="1:20" ht="15">
      <c r="A918" s="282">
        <v>6508886</v>
      </c>
      <c r="B918" s="282"/>
      <c r="C918" s="182"/>
      <c r="D918" s="179"/>
      <c r="E918" s="181"/>
      <c r="T918" s="33">
        <v>183220</v>
      </c>
    </row>
    <row r="919" spans="1:20" ht="15">
      <c r="A919" s="282">
        <v>6507624</v>
      </c>
      <c r="B919" s="282"/>
      <c r="C919" s="182"/>
      <c r="D919" s="179"/>
      <c r="E919" s="181"/>
      <c r="T919" s="33">
        <v>183012</v>
      </c>
    </row>
    <row r="920" spans="1:20" ht="15">
      <c r="A920" s="282">
        <v>6508159</v>
      </c>
      <c r="B920" s="282"/>
      <c r="C920" s="182"/>
      <c r="D920" s="179"/>
      <c r="E920" s="182"/>
      <c r="T920" s="33">
        <v>183013</v>
      </c>
    </row>
    <row r="921" spans="1:20" ht="15">
      <c r="A921" s="282">
        <v>6509067</v>
      </c>
      <c r="B921" s="282"/>
      <c r="C921" s="182"/>
      <c r="D921" s="179"/>
      <c r="E921" s="182"/>
      <c r="T921" s="33">
        <v>181411</v>
      </c>
    </row>
    <row r="922" spans="1:20" ht="15">
      <c r="A922" s="282">
        <v>6509068</v>
      </c>
      <c r="B922" s="282"/>
      <c r="C922" s="182"/>
      <c r="D922" s="179"/>
      <c r="E922" s="182"/>
      <c r="T922" s="33">
        <v>192311</v>
      </c>
    </row>
    <row r="923" spans="1:20" ht="15">
      <c r="A923" s="282">
        <v>6509071</v>
      </c>
      <c r="B923" s="282"/>
      <c r="C923" s="182"/>
      <c r="D923" s="179"/>
      <c r="E923" s="181"/>
      <c r="T923" s="33">
        <v>192014</v>
      </c>
    </row>
    <row r="924" spans="1:20" ht="15">
      <c r="A924" s="282">
        <v>6509074</v>
      </c>
      <c r="B924" s="282"/>
      <c r="C924" s="182"/>
      <c r="D924" s="179"/>
      <c r="E924" s="181"/>
      <c r="T924" s="33">
        <v>192514</v>
      </c>
    </row>
    <row r="925" spans="1:20" ht="15">
      <c r="A925" s="282">
        <v>6509075</v>
      </c>
      <c r="B925" s="282"/>
      <c r="C925" s="182"/>
      <c r="D925" s="179"/>
      <c r="E925" s="181"/>
      <c r="T925" s="33">
        <v>192520</v>
      </c>
    </row>
    <row r="926" spans="1:20" ht="15">
      <c r="A926" s="282">
        <v>6509078</v>
      </c>
      <c r="B926" s="282"/>
      <c r="C926" s="182"/>
      <c r="D926" s="179"/>
      <c r="E926" s="181"/>
      <c r="T926" s="33">
        <v>181613</v>
      </c>
    </row>
    <row r="927" spans="1:20" ht="15">
      <c r="A927" s="282">
        <v>6509079</v>
      </c>
      <c r="B927" s="282"/>
      <c r="C927" s="182"/>
      <c r="D927" s="179"/>
      <c r="E927" s="182"/>
      <c r="T927" s="33">
        <v>181614</v>
      </c>
    </row>
    <row r="928" spans="1:20" ht="15">
      <c r="A928" s="282">
        <v>6509080</v>
      </c>
      <c r="B928" s="282"/>
      <c r="C928" s="182"/>
      <c r="D928" s="179"/>
      <c r="E928" s="181"/>
      <c r="T928" s="33">
        <v>181418</v>
      </c>
    </row>
    <row r="929" spans="1:20" ht="15">
      <c r="A929" s="282">
        <v>6509081</v>
      </c>
      <c r="B929" s="282"/>
      <c r="C929" s="182"/>
      <c r="D929" s="179"/>
      <c r="E929" s="182"/>
      <c r="T929" s="33">
        <v>191716</v>
      </c>
    </row>
    <row r="930" spans="1:20" ht="15">
      <c r="A930" s="282">
        <v>6509083</v>
      </c>
      <c r="B930" s="282"/>
      <c r="C930" s="182"/>
      <c r="D930" s="179"/>
      <c r="E930" s="181"/>
      <c r="T930" s="33">
        <v>171610</v>
      </c>
    </row>
    <row r="931" spans="1:20" ht="15">
      <c r="A931" s="282">
        <v>6509086</v>
      </c>
      <c r="B931" s="282"/>
      <c r="C931" s="182"/>
      <c r="D931" s="179"/>
      <c r="E931" s="182"/>
      <c r="T931" s="33">
        <v>182109</v>
      </c>
    </row>
    <row r="932" spans="1:20" ht="15">
      <c r="A932" s="282">
        <v>6509087</v>
      </c>
      <c r="B932" s="282"/>
      <c r="C932" s="182"/>
      <c r="D932" s="179"/>
      <c r="E932" s="179"/>
      <c r="T932" s="33">
        <v>181709</v>
      </c>
    </row>
    <row r="933" spans="1:20" ht="15">
      <c r="A933" s="282">
        <v>6508985</v>
      </c>
      <c r="B933" s="282"/>
      <c r="C933" s="182"/>
      <c r="D933" s="179"/>
      <c r="E933" s="182"/>
      <c r="T933" s="33">
        <v>183011</v>
      </c>
    </row>
    <row r="934" spans="1:20" ht="15">
      <c r="A934" s="282">
        <v>6508984</v>
      </c>
      <c r="B934" s="282"/>
      <c r="C934" s="182"/>
      <c r="D934" s="179"/>
      <c r="E934" s="286"/>
      <c r="T934" s="33">
        <v>171612</v>
      </c>
    </row>
    <row r="935" spans="1:20" ht="15">
      <c r="A935" s="282">
        <v>6509070</v>
      </c>
      <c r="B935" s="282"/>
      <c r="C935" s="182"/>
      <c r="D935" s="179"/>
      <c r="E935" s="182"/>
      <c r="T935" s="33">
        <v>171710</v>
      </c>
    </row>
    <row r="936" spans="1:20" ht="15">
      <c r="A936" s="282">
        <v>6510354</v>
      </c>
      <c r="B936" s="282"/>
      <c r="C936" s="182"/>
      <c r="D936" s="179"/>
      <c r="E936" s="182"/>
      <c r="T936" s="33">
        <v>181720</v>
      </c>
    </row>
    <row r="937" spans="1:20" ht="15">
      <c r="A937" s="282">
        <v>6510357</v>
      </c>
      <c r="B937" s="282"/>
      <c r="C937" s="182"/>
      <c r="D937" s="179"/>
      <c r="E937" s="182"/>
      <c r="T937" s="33">
        <v>181716</v>
      </c>
    </row>
    <row r="938" spans="1:20" ht="15">
      <c r="A938" s="282">
        <v>6510358</v>
      </c>
      <c r="B938" s="282"/>
      <c r="C938" s="182"/>
      <c r="D938" s="179"/>
      <c r="E938" s="179"/>
      <c r="T938" s="33">
        <v>192410</v>
      </c>
    </row>
    <row r="939" spans="1:20">
      <c r="A939" s="182">
        <v>6510355</v>
      </c>
      <c r="B939" s="181"/>
      <c r="C939" s="182"/>
      <c r="D939" s="179"/>
      <c r="E939" s="286"/>
      <c r="T939" s="33">
        <v>151905</v>
      </c>
    </row>
    <row r="940" spans="1:20">
      <c r="A940" s="182">
        <v>6510267</v>
      </c>
      <c r="B940" s="181"/>
      <c r="C940" s="182"/>
      <c r="D940" s="179"/>
      <c r="E940" s="182"/>
      <c r="T940" s="33">
        <v>152705</v>
      </c>
    </row>
    <row r="941" spans="1:20">
      <c r="A941" s="182">
        <v>6510356</v>
      </c>
      <c r="B941" s="181"/>
      <c r="C941" s="182"/>
      <c r="D941" s="179"/>
      <c r="E941" s="182"/>
      <c r="T941" s="33">
        <v>163205</v>
      </c>
    </row>
    <row r="942" spans="1:20" ht="15">
      <c r="A942" s="282">
        <v>6510264</v>
      </c>
      <c r="B942" s="282"/>
      <c r="C942" s="182"/>
      <c r="D942" s="179"/>
      <c r="E942" s="181"/>
      <c r="T942" s="33">
        <v>152205</v>
      </c>
    </row>
    <row r="943" spans="1:20" ht="15">
      <c r="A943" s="282">
        <v>6510265</v>
      </c>
      <c r="B943" s="282"/>
      <c r="C943" s="182"/>
      <c r="D943" s="179"/>
      <c r="E943" s="181"/>
      <c r="T943" s="33">
        <v>143204</v>
      </c>
    </row>
    <row r="944" spans="1:20" ht="15">
      <c r="A944" s="282">
        <v>6510266</v>
      </c>
      <c r="B944" s="282"/>
      <c r="C944" s="182"/>
      <c r="D944" s="179"/>
      <c r="E944" s="181"/>
      <c r="T944" s="33">
        <v>191617</v>
      </c>
    </row>
    <row r="945" spans="1:20" ht="15">
      <c r="A945" s="282">
        <v>6509171</v>
      </c>
      <c r="B945" s="282"/>
      <c r="C945" s="182"/>
      <c r="D945" s="179"/>
      <c r="E945" s="182"/>
      <c r="T945" s="33">
        <v>151511</v>
      </c>
    </row>
    <row r="946" spans="1:20" ht="15">
      <c r="A946" s="282">
        <v>6500399</v>
      </c>
      <c r="B946" s="282"/>
      <c r="C946" s="182"/>
      <c r="D946" s="179"/>
      <c r="E946" s="181"/>
      <c r="T946" s="33">
        <v>171516</v>
      </c>
    </row>
    <row r="947" spans="1:20">
      <c r="A947" s="182">
        <v>6500277</v>
      </c>
      <c r="B947" s="283"/>
      <c r="C947" s="182"/>
      <c r="D947" s="179"/>
      <c r="E947" s="181"/>
      <c r="T947" s="33">
        <v>191625</v>
      </c>
    </row>
    <row r="948" spans="1:20">
      <c r="A948" s="182">
        <v>6506878</v>
      </c>
      <c r="B948" s="283"/>
      <c r="C948" s="182"/>
      <c r="D948" s="179"/>
      <c r="E948" s="181"/>
      <c r="T948" s="33">
        <v>191521</v>
      </c>
    </row>
    <row r="949" spans="1:20">
      <c r="A949" s="182">
        <v>6504791</v>
      </c>
      <c r="B949" s="283"/>
      <c r="C949" s="182"/>
      <c r="D949" s="179"/>
      <c r="E949" s="182"/>
      <c r="T949" s="33">
        <v>191623</v>
      </c>
    </row>
    <row r="950" spans="1:20">
      <c r="A950" s="182">
        <v>6504457</v>
      </c>
      <c r="B950" s="283"/>
      <c r="C950" s="182"/>
      <c r="D950" s="179"/>
      <c r="E950" s="182"/>
      <c r="T950" s="33">
        <v>192118</v>
      </c>
    </row>
    <row r="951" spans="1:20" ht="15">
      <c r="A951" s="282">
        <v>6509049</v>
      </c>
      <c r="B951" s="282"/>
      <c r="C951" s="182"/>
      <c r="D951" s="179"/>
      <c r="E951" s="182"/>
      <c r="T951" s="33">
        <v>171510</v>
      </c>
    </row>
    <row r="952" spans="1:20" ht="15">
      <c r="A952" s="282">
        <v>6509050</v>
      </c>
      <c r="B952" s="282"/>
      <c r="C952" s="182"/>
      <c r="D952" s="179"/>
      <c r="E952" s="179"/>
      <c r="T952" s="33">
        <v>181409</v>
      </c>
    </row>
    <row r="953" spans="1:20" ht="15">
      <c r="A953" s="282">
        <v>6509806</v>
      </c>
      <c r="B953" s="282"/>
      <c r="C953" s="182"/>
      <c r="D953" s="179"/>
      <c r="E953" s="181"/>
      <c r="T953" s="33">
        <v>191620</v>
      </c>
    </row>
    <row r="954" spans="1:20" ht="15">
      <c r="A954" s="282">
        <v>6509807</v>
      </c>
      <c r="B954" s="282"/>
      <c r="C954" s="182"/>
      <c r="D954" s="179"/>
      <c r="E954" s="182"/>
      <c r="T954" s="33">
        <v>191621</v>
      </c>
    </row>
    <row r="955" spans="1:20" ht="15">
      <c r="A955" s="282">
        <v>6509808</v>
      </c>
      <c r="B955" s="282"/>
      <c r="C955" s="182"/>
      <c r="D955" s="179"/>
      <c r="E955" s="182"/>
      <c r="T955" s="33">
        <v>191518</v>
      </c>
    </row>
    <row r="956" spans="1:20" ht="15">
      <c r="A956" s="282">
        <v>6510394</v>
      </c>
      <c r="B956" s="282"/>
      <c r="C956" s="182"/>
      <c r="D956" s="179"/>
      <c r="E956" s="182"/>
      <c r="T956" s="33">
        <v>191619</v>
      </c>
    </row>
    <row r="957" spans="1:20" ht="15">
      <c r="A957" s="282">
        <v>6510413</v>
      </c>
      <c r="B957" s="282"/>
      <c r="C957" s="182"/>
      <c r="D957" s="179"/>
      <c r="E957" s="181"/>
      <c r="T957" s="33">
        <v>161806</v>
      </c>
    </row>
    <row r="958" spans="1:20" ht="15">
      <c r="A958" s="282">
        <v>6510406</v>
      </c>
      <c r="B958" s="282"/>
      <c r="C958" s="182"/>
      <c r="D958" s="179"/>
      <c r="E958" s="182"/>
      <c r="T958" s="33">
        <v>161707</v>
      </c>
    </row>
    <row r="959" spans="1:20" ht="15">
      <c r="A959" s="282">
        <v>6510399</v>
      </c>
      <c r="B959" s="282"/>
      <c r="C959" s="182"/>
      <c r="D959" s="179"/>
      <c r="E959" s="181"/>
      <c r="T959" s="33">
        <v>181612</v>
      </c>
    </row>
    <row r="960" spans="1:20" ht="15">
      <c r="A960" s="282">
        <v>6510393</v>
      </c>
      <c r="B960" s="282"/>
      <c r="C960" s="182"/>
      <c r="D960" s="179"/>
      <c r="E960" s="181"/>
      <c r="T960" s="33">
        <v>181512</v>
      </c>
    </row>
    <row r="961" spans="1:20" ht="15">
      <c r="A961" s="282">
        <v>6510414</v>
      </c>
      <c r="B961" s="282"/>
      <c r="C961" s="182"/>
      <c r="D961" s="179"/>
      <c r="E961" s="182"/>
      <c r="T961" s="33">
        <v>133801</v>
      </c>
    </row>
    <row r="962" spans="1:20" ht="15">
      <c r="A962" s="282">
        <v>6510404</v>
      </c>
      <c r="B962" s="282"/>
      <c r="C962" s="182"/>
      <c r="D962" s="179"/>
      <c r="E962" s="182"/>
      <c r="T962" s="33">
        <v>141305</v>
      </c>
    </row>
    <row r="963" spans="1:20" ht="15">
      <c r="A963" s="282">
        <v>6510402</v>
      </c>
      <c r="B963" s="282"/>
      <c r="C963" s="182"/>
      <c r="D963" s="179"/>
      <c r="E963" s="182"/>
      <c r="T963" s="33">
        <v>161509</v>
      </c>
    </row>
    <row r="964" spans="1:20" ht="15">
      <c r="A964" s="282">
        <v>6510391</v>
      </c>
      <c r="B964" s="282"/>
      <c r="C964" s="182"/>
      <c r="D964" s="179"/>
      <c r="E964" s="286"/>
      <c r="T964" s="33">
        <v>161703</v>
      </c>
    </row>
    <row r="965" spans="1:20" ht="15">
      <c r="A965" s="282">
        <v>6510418</v>
      </c>
      <c r="B965" s="282"/>
      <c r="C965" s="182"/>
      <c r="D965" s="179"/>
      <c r="E965" s="182"/>
      <c r="T965" s="33">
        <v>161506</v>
      </c>
    </row>
    <row r="966" spans="1:20" ht="15">
      <c r="A966" s="282">
        <v>6510419</v>
      </c>
      <c r="B966" s="282"/>
      <c r="C966" s="182"/>
      <c r="D966" s="179"/>
      <c r="E966" s="182"/>
      <c r="T966" s="33">
        <v>161510</v>
      </c>
    </row>
    <row r="967" spans="1:20" ht="15">
      <c r="A967" s="282">
        <v>6510396</v>
      </c>
      <c r="B967" s="282"/>
      <c r="C967" s="182"/>
      <c r="D967" s="179"/>
      <c r="E967" s="182"/>
      <c r="T967" s="33">
        <v>161508</v>
      </c>
    </row>
    <row r="968" spans="1:20" ht="15">
      <c r="A968" s="282">
        <v>6510397</v>
      </c>
      <c r="B968" s="282"/>
      <c r="C968" s="182"/>
      <c r="D968" s="179"/>
      <c r="E968" s="182"/>
      <c r="T968" s="33">
        <v>193138</v>
      </c>
    </row>
    <row r="969" spans="1:20" ht="15">
      <c r="A969" s="282">
        <v>6504138</v>
      </c>
      <c r="B969" s="282"/>
      <c r="C969" s="182"/>
      <c r="D969" s="179"/>
      <c r="E969" s="182"/>
      <c r="T969" s="33">
        <v>172617</v>
      </c>
    </row>
    <row r="970" spans="1:20" ht="15">
      <c r="A970" s="282">
        <v>6509816</v>
      </c>
      <c r="B970" s="282"/>
      <c r="C970" s="182"/>
      <c r="D970" s="179"/>
      <c r="E970" s="181"/>
      <c r="T970" s="33">
        <v>183022</v>
      </c>
    </row>
    <row r="971" spans="1:20" ht="15">
      <c r="A971" s="282">
        <v>6509817</v>
      </c>
      <c r="B971" s="282"/>
      <c r="C971" s="182"/>
      <c r="D971" s="179"/>
      <c r="E971" s="179"/>
      <c r="T971" s="33">
        <v>182320</v>
      </c>
    </row>
    <row r="972" spans="1:20" ht="15">
      <c r="A972" s="282">
        <v>6509818</v>
      </c>
      <c r="B972" s="282"/>
      <c r="C972" s="182"/>
      <c r="D972" s="179"/>
      <c r="E972" s="182"/>
      <c r="T972" s="33">
        <v>182929</v>
      </c>
    </row>
    <row r="973" spans="1:20" ht="15">
      <c r="A973" s="282">
        <v>6510376</v>
      </c>
      <c r="B973" s="282"/>
      <c r="C973" s="182"/>
      <c r="D973" s="179"/>
      <c r="E973" s="181"/>
      <c r="T973" s="33">
        <v>182527</v>
      </c>
    </row>
    <row r="974" spans="1:20" ht="15">
      <c r="A974" s="282">
        <v>6509448</v>
      </c>
      <c r="B974" s="282"/>
      <c r="C974" s="182"/>
      <c r="D974" s="179"/>
      <c r="E974" s="182"/>
      <c r="T974" s="33">
        <v>163320</v>
      </c>
    </row>
    <row r="975" spans="1:20" ht="15">
      <c r="A975" s="282">
        <v>6509277</v>
      </c>
      <c r="B975" s="282"/>
      <c r="C975" s="182"/>
      <c r="D975" s="179"/>
      <c r="E975" s="182"/>
      <c r="T975" s="33">
        <v>173323</v>
      </c>
    </row>
    <row r="976" spans="1:20" ht="15">
      <c r="A976" s="282">
        <v>6509092</v>
      </c>
      <c r="B976" s="282"/>
      <c r="C976" s="182"/>
      <c r="D976" s="179"/>
      <c r="E976" s="181"/>
      <c r="T976" s="33">
        <v>173020</v>
      </c>
    </row>
    <row r="977" spans="1:20" ht="15">
      <c r="A977" s="282">
        <v>6509094</v>
      </c>
      <c r="B977" s="282"/>
      <c r="C977" s="182"/>
      <c r="D977" s="179"/>
      <c r="E977" s="181"/>
      <c r="T977" s="33">
        <v>183230</v>
      </c>
    </row>
    <row r="978" spans="1:20" ht="15">
      <c r="A978" s="282">
        <v>6509414</v>
      </c>
      <c r="B978" s="282"/>
      <c r="C978" s="182"/>
      <c r="D978" s="179"/>
      <c r="E978" s="181"/>
      <c r="T978" s="33">
        <v>183015</v>
      </c>
    </row>
    <row r="979" spans="1:20" ht="15">
      <c r="A979" s="282">
        <v>6509501</v>
      </c>
      <c r="B979" s="282"/>
      <c r="C979" s="182"/>
      <c r="D979" s="179"/>
      <c r="E979" s="182"/>
      <c r="T979" s="33">
        <v>163116</v>
      </c>
    </row>
    <row r="980" spans="1:20" ht="15">
      <c r="A980" s="282">
        <v>6509500</v>
      </c>
      <c r="B980" s="282"/>
      <c r="C980" s="182"/>
      <c r="D980" s="179"/>
      <c r="E980" s="182"/>
      <c r="T980" s="33">
        <v>163115</v>
      </c>
    </row>
    <row r="981" spans="1:20" ht="15">
      <c r="A981" s="282">
        <v>6509542</v>
      </c>
      <c r="B981" s="282"/>
      <c r="C981" s="182"/>
      <c r="D981" s="179"/>
      <c r="E981" s="182"/>
      <c r="T981" s="33">
        <v>142808</v>
      </c>
    </row>
    <row r="982" spans="1:20" ht="15">
      <c r="A982" s="282">
        <v>6509545</v>
      </c>
      <c r="B982" s="282"/>
      <c r="C982" s="182"/>
      <c r="D982" s="179"/>
      <c r="E982" s="182"/>
      <c r="T982" s="33">
        <v>143207</v>
      </c>
    </row>
    <row r="983" spans="1:20" ht="15">
      <c r="A983" s="282">
        <v>6509546</v>
      </c>
      <c r="B983" s="282"/>
      <c r="C983" s="182"/>
      <c r="D983" s="179"/>
      <c r="E983" s="182"/>
      <c r="T983" s="33">
        <v>162215</v>
      </c>
    </row>
    <row r="984" spans="1:20" ht="15">
      <c r="A984" s="282">
        <v>6509548</v>
      </c>
      <c r="B984" s="282"/>
      <c r="C984" s="182"/>
      <c r="D984" s="179"/>
      <c r="E984" s="182"/>
      <c r="T984" s="33">
        <v>161715</v>
      </c>
    </row>
    <row r="985" spans="1:20" ht="15">
      <c r="A985" s="282">
        <v>6509549</v>
      </c>
      <c r="B985" s="282"/>
      <c r="C985" s="182"/>
      <c r="D985" s="179"/>
      <c r="E985" s="182"/>
      <c r="T985" s="33">
        <v>161712</v>
      </c>
    </row>
    <row r="986" spans="1:20" ht="15">
      <c r="A986" s="282">
        <v>6509550</v>
      </c>
      <c r="B986" s="282"/>
      <c r="C986" s="182"/>
      <c r="D986" s="179"/>
      <c r="E986" s="182"/>
      <c r="T986" s="33">
        <v>161708</v>
      </c>
    </row>
    <row r="987" spans="1:20" ht="15">
      <c r="A987" s="282">
        <v>6509551</v>
      </c>
      <c r="B987" s="282"/>
      <c r="C987" s="182"/>
      <c r="D987" s="179"/>
      <c r="E987" s="182"/>
      <c r="T987" s="33">
        <v>162107</v>
      </c>
    </row>
    <row r="988" spans="1:20" ht="15">
      <c r="A988" s="282">
        <v>6509553</v>
      </c>
      <c r="B988" s="282"/>
      <c r="C988" s="182"/>
      <c r="D988" s="179"/>
      <c r="E988" s="179"/>
      <c r="T988" s="33">
        <v>141909</v>
      </c>
    </row>
    <row r="989" spans="1:20" ht="15">
      <c r="A989" s="282">
        <v>6509556</v>
      </c>
      <c r="B989" s="282"/>
      <c r="C989" s="182"/>
      <c r="D989" s="179"/>
      <c r="E989" s="182"/>
      <c r="T989" s="33">
        <v>121305</v>
      </c>
    </row>
    <row r="990" spans="1:20" ht="15">
      <c r="A990" s="282">
        <v>6509668</v>
      </c>
      <c r="B990" s="282"/>
      <c r="C990" s="182"/>
      <c r="D990" s="179"/>
      <c r="E990" s="182"/>
      <c r="T990" s="33">
        <v>121605</v>
      </c>
    </row>
    <row r="991" spans="1:20" ht="15">
      <c r="A991" s="282">
        <v>6509669</v>
      </c>
      <c r="B991" s="282"/>
      <c r="C991" s="182"/>
      <c r="D991" s="179"/>
      <c r="E991" s="182"/>
      <c r="T991" s="33">
        <v>121706</v>
      </c>
    </row>
    <row r="992" spans="1:20" ht="15">
      <c r="A992" s="282">
        <v>6509755</v>
      </c>
      <c r="B992" s="282"/>
      <c r="C992" s="182"/>
      <c r="D992" s="179"/>
      <c r="E992" s="182"/>
      <c r="T992" s="33">
        <v>121708</v>
      </c>
    </row>
    <row r="993" spans="1:20" ht="15">
      <c r="A993" s="282">
        <v>6509759</v>
      </c>
      <c r="B993" s="282"/>
      <c r="C993" s="182"/>
      <c r="D993" s="179"/>
      <c r="E993" s="182"/>
      <c r="T993" s="33">
        <v>132005</v>
      </c>
    </row>
    <row r="994" spans="1:20" ht="15">
      <c r="A994" s="282">
        <v>6509760</v>
      </c>
      <c r="B994" s="282"/>
      <c r="C994" s="182"/>
      <c r="D994" s="179"/>
      <c r="E994" s="182"/>
      <c r="T994" s="33">
        <v>131513</v>
      </c>
    </row>
    <row r="995" spans="1:20" ht="15">
      <c r="A995" s="282">
        <v>6509762</v>
      </c>
      <c r="B995" s="282"/>
      <c r="C995" s="182"/>
      <c r="D995" s="179"/>
      <c r="E995" s="182"/>
      <c r="T995" s="33">
        <v>122906</v>
      </c>
    </row>
    <row r="996" spans="1:20" ht="15">
      <c r="A996" s="282">
        <v>6509764</v>
      </c>
      <c r="B996" s="282"/>
      <c r="C996" s="182"/>
      <c r="D996" s="179"/>
      <c r="E996" s="179"/>
      <c r="T996" s="33">
        <v>122905</v>
      </c>
    </row>
    <row r="997" spans="1:20" ht="15">
      <c r="A997" s="282">
        <v>6509758</v>
      </c>
      <c r="B997" s="282"/>
      <c r="C997" s="182"/>
      <c r="D997" s="179"/>
      <c r="E997" s="181"/>
      <c r="T997" s="33">
        <v>132803</v>
      </c>
    </row>
    <row r="998" spans="1:20" ht="15">
      <c r="A998" s="282">
        <v>6509555</v>
      </c>
      <c r="B998" s="282"/>
      <c r="C998" s="182"/>
      <c r="D998" s="179"/>
      <c r="E998" s="182"/>
      <c r="T998" s="33">
        <v>142305</v>
      </c>
    </row>
    <row r="999" spans="1:20" ht="15">
      <c r="A999" s="282">
        <v>6509842</v>
      </c>
      <c r="B999" s="282"/>
      <c r="C999" s="182"/>
      <c r="D999" s="179"/>
      <c r="E999" s="182"/>
      <c r="T999" s="33">
        <v>192030</v>
      </c>
    </row>
    <row r="1000" spans="1:20" ht="15">
      <c r="A1000" s="282">
        <v>6509756</v>
      </c>
      <c r="B1000" s="282"/>
      <c r="C1000" s="182"/>
      <c r="D1000" s="179"/>
      <c r="E1000" s="182"/>
      <c r="T1000" s="33">
        <v>192025</v>
      </c>
    </row>
    <row r="1001" spans="1:20" ht="15">
      <c r="A1001" s="282">
        <v>6509503</v>
      </c>
      <c r="B1001" s="282"/>
      <c r="C1001" s="182"/>
      <c r="D1001" s="179"/>
      <c r="E1001" s="182"/>
      <c r="T1001" s="33">
        <v>171522</v>
      </c>
    </row>
    <row r="1002" spans="1:20" ht="15">
      <c r="A1002" s="282">
        <v>6509502</v>
      </c>
      <c r="B1002" s="282"/>
      <c r="C1002" s="182"/>
      <c r="D1002" s="179"/>
      <c r="E1002" s="182"/>
      <c r="T1002" s="33">
        <v>171623</v>
      </c>
    </row>
    <row r="1003" spans="1:20" ht="15">
      <c r="A1003" s="282">
        <v>6509561</v>
      </c>
      <c r="B1003" s="282"/>
      <c r="C1003" s="182"/>
      <c r="D1003" s="179"/>
      <c r="E1003" s="181"/>
      <c r="T1003" s="33">
        <v>171723</v>
      </c>
    </row>
    <row r="1004" spans="1:20" ht="15">
      <c r="A1004" s="282">
        <v>6509564</v>
      </c>
      <c r="B1004" s="282"/>
      <c r="C1004" s="182"/>
      <c r="D1004" s="179"/>
      <c r="E1004" s="181"/>
      <c r="T1004" s="33">
        <v>181619</v>
      </c>
    </row>
    <row r="1005" spans="1:20" ht="15">
      <c r="A1005" s="282">
        <v>6509565</v>
      </c>
      <c r="B1005" s="282"/>
      <c r="C1005" s="182"/>
      <c r="D1005" s="179"/>
      <c r="E1005" s="181"/>
      <c r="T1005" s="33">
        <v>181420</v>
      </c>
    </row>
    <row r="1006" spans="1:20" ht="15">
      <c r="A1006" s="282">
        <v>6509568</v>
      </c>
      <c r="B1006" s="282"/>
      <c r="C1006" s="182"/>
      <c r="D1006" s="179"/>
      <c r="E1006" s="181"/>
      <c r="T1006" s="33">
        <v>131409</v>
      </c>
    </row>
    <row r="1007" spans="1:20" ht="15">
      <c r="A1007" s="282">
        <v>6509570</v>
      </c>
      <c r="B1007" s="282"/>
      <c r="C1007" s="182"/>
      <c r="D1007" s="179"/>
      <c r="E1007" s="60"/>
      <c r="T1007" s="33">
        <v>131408</v>
      </c>
    </row>
    <row r="1008" spans="1:20" ht="15">
      <c r="A1008" s="282">
        <v>6506474</v>
      </c>
      <c r="B1008" s="282"/>
      <c r="C1008" s="182"/>
      <c r="D1008" s="179"/>
      <c r="E1008" s="182"/>
      <c r="T1008" s="33">
        <v>131510</v>
      </c>
    </row>
    <row r="1009" spans="1:20" ht="15">
      <c r="A1009" s="282">
        <v>6506859</v>
      </c>
      <c r="B1009" s="282"/>
      <c r="C1009" s="182"/>
      <c r="D1009" s="179"/>
      <c r="E1009" s="179"/>
      <c r="T1009" s="33">
        <v>151515</v>
      </c>
    </row>
    <row r="1010" spans="1:20" ht="15">
      <c r="A1010" s="282">
        <v>6504005</v>
      </c>
      <c r="B1010" s="282"/>
      <c r="C1010" s="182"/>
      <c r="D1010" s="179"/>
      <c r="E1010" s="286"/>
      <c r="T1010" s="33">
        <v>161511</v>
      </c>
    </row>
    <row r="1011" spans="1:20" ht="15">
      <c r="A1011" s="282">
        <v>6504007</v>
      </c>
      <c r="B1011" s="282"/>
      <c r="C1011" s="182"/>
      <c r="D1011" s="179"/>
      <c r="E1011" s="182"/>
      <c r="T1011" s="33">
        <v>161518</v>
      </c>
    </row>
    <row r="1012" spans="1:20" ht="15">
      <c r="A1012" s="282">
        <v>6504339</v>
      </c>
      <c r="B1012" s="282"/>
      <c r="C1012" s="182"/>
      <c r="D1012" s="179"/>
      <c r="E1012" s="182"/>
      <c r="T1012" s="33">
        <v>111408</v>
      </c>
    </row>
    <row r="1013" spans="1:20" ht="15">
      <c r="A1013" s="282">
        <v>6507678</v>
      </c>
      <c r="B1013" s="282"/>
      <c r="C1013" s="182"/>
      <c r="D1013" s="179"/>
      <c r="E1013" s="182"/>
      <c r="T1013" s="33">
        <v>141309</v>
      </c>
    </row>
    <row r="1014" spans="1:20" ht="15">
      <c r="A1014" s="282">
        <v>6505810</v>
      </c>
      <c r="B1014" s="282"/>
      <c r="C1014" s="182"/>
      <c r="D1014" s="179"/>
      <c r="E1014" s="182"/>
      <c r="T1014" s="33">
        <v>141506</v>
      </c>
    </row>
    <row r="1015" spans="1:20" ht="15">
      <c r="A1015" s="282">
        <v>6509572</v>
      </c>
      <c r="B1015" s="282"/>
      <c r="C1015" s="182"/>
      <c r="D1015" s="179"/>
      <c r="E1015" s="179"/>
      <c r="T1015" s="33">
        <v>151415</v>
      </c>
    </row>
    <row r="1016" spans="1:20" ht="15">
      <c r="A1016" s="282">
        <v>6509883</v>
      </c>
      <c r="B1016" s="282"/>
      <c r="C1016" s="182"/>
      <c r="D1016" s="179"/>
      <c r="E1016" s="179"/>
      <c r="T1016" s="33">
        <v>151512</v>
      </c>
    </row>
    <row r="1017" spans="1:20" ht="15">
      <c r="A1017" s="282">
        <v>6510379</v>
      </c>
      <c r="B1017" s="282"/>
      <c r="C1017" s="182"/>
      <c r="D1017" s="180"/>
      <c r="E1017" s="286"/>
      <c r="T1017" s="33">
        <v>131407</v>
      </c>
    </row>
    <row r="1018" spans="1:20" ht="15">
      <c r="A1018" s="282">
        <v>6509581</v>
      </c>
      <c r="B1018" s="282"/>
      <c r="C1018" s="182"/>
      <c r="D1018" s="179"/>
      <c r="E1018" s="286"/>
      <c r="T1018" s="33">
        <v>131504</v>
      </c>
    </row>
    <row r="1019" spans="1:20" ht="15">
      <c r="A1019" s="282">
        <v>6507468</v>
      </c>
      <c r="B1019" s="282"/>
      <c r="C1019" s="182"/>
      <c r="D1019" s="179"/>
      <c r="E1019" s="286"/>
      <c r="T1019" s="33">
        <v>131406</v>
      </c>
    </row>
    <row r="1020" spans="1:20" ht="15">
      <c r="A1020" s="282">
        <v>6507470</v>
      </c>
      <c r="B1020" s="282"/>
      <c r="C1020" s="182"/>
      <c r="D1020" s="179"/>
      <c r="E1020" s="286"/>
      <c r="T1020" s="33">
        <v>121212</v>
      </c>
    </row>
    <row r="1021" spans="1:20" ht="15">
      <c r="A1021" s="282">
        <v>6508850</v>
      </c>
      <c r="B1021" s="282"/>
      <c r="C1021" s="182"/>
      <c r="D1021" s="179"/>
      <c r="E1021" s="286"/>
      <c r="T1021" s="33">
        <v>121207</v>
      </c>
    </row>
    <row r="1022" spans="1:20" ht="15">
      <c r="A1022" s="282">
        <v>6508852</v>
      </c>
      <c r="B1022" s="282"/>
      <c r="C1022" s="182"/>
      <c r="D1022" s="179"/>
      <c r="E1022" s="286"/>
      <c r="T1022" s="33">
        <v>131310</v>
      </c>
    </row>
    <row r="1023" spans="1:20" ht="15">
      <c r="A1023" s="282">
        <v>6508855</v>
      </c>
      <c r="B1023" s="282"/>
      <c r="C1023" s="182"/>
      <c r="D1023" s="179"/>
      <c r="E1023" s="286"/>
      <c r="T1023" s="33">
        <v>181426</v>
      </c>
    </row>
    <row r="1024" spans="1:20" ht="15">
      <c r="A1024" s="282">
        <v>6507802</v>
      </c>
      <c r="B1024" s="282"/>
      <c r="C1024" s="182"/>
      <c r="D1024" s="179"/>
      <c r="E1024" s="182"/>
      <c r="T1024" s="33">
        <v>191524</v>
      </c>
    </row>
    <row r="1025" spans="1:20" ht="15">
      <c r="A1025" s="282">
        <v>6507809</v>
      </c>
      <c r="B1025" s="282"/>
      <c r="C1025" s="182"/>
      <c r="D1025" s="179"/>
      <c r="E1025" s="179"/>
      <c r="T1025" s="33">
        <v>191533</v>
      </c>
    </row>
    <row r="1026" spans="1:20" ht="15">
      <c r="A1026" s="282">
        <v>6507892</v>
      </c>
      <c r="B1026" s="282"/>
      <c r="C1026" s="182"/>
      <c r="D1026" s="179"/>
      <c r="E1026" s="286"/>
      <c r="T1026" s="33">
        <v>191629</v>
      </c>
    </row>
    <row r="1027" spans="1:20" ht="15">
      <c r="A1027" s="282">
        <v>6507957</v>
      </c>
      <c r="B1027" s="282"/>
      <c r="C1027" s="182"/>
      <c r="D1027" s="179"/>
      <c r="E1027" s="286"/>
      <c r="T1027" s="33">
        <v>191725</v>
      </c>
    </row>
    <row r="1028" spans="1:20" ht="15">
      <c r="A1028" s="282">
        <v>6509903</v>
      </c>
      <c r="B1028" s="282"/>
      <c r="C1028" s="182"/>
      <c r="D1028" s="179"/>
      <c r="E1028" s="286"/>
      <c r="T1028" s="33">
        <v>191840</v>
      </c>
    </row>
    <row r="1029" spans="1:20" ht="15">
      <c r="A1029" s="282">
        <v>6503302</v>
      </c>
      <c r="B1029" s="282"/>
      <c r="C1029" s="182"/>
      <c r="D1029" s="179"/>
      <c r="E1029" s="286"/>
      <c r="T1029" s="33">
        <v>191655</v>
      </c>
    </row>
    <row r="1030" spans="1:20" ht="15">
      <c r="A1030" s="282">
        <v>6509913</v>
      </c>
      <c r="B1030" s="282"/>
      <c r="C1030" s="182"/>
      <c r="D1030" s="179"/>
      <c r="E1030" s="286"/>
      <c r="T1030" s="33">
        <v>191934</v>
      </c>
    </row>
    <row r="1031" spans="1:20" ht="15">
      <c r="A1031" s="282">
        <v>6509914</v>
      </c>
      <c r="B1031" s="282"/>
      <c r="C1031" s="182"/>
      <c r="D1031" s="179"/>
      <c r="E1031" s="182"/>
      <c r="T1031" s="33">
        <v>191650</v>
      </c>
    </row>
    <row r="1032" spans="1:20" ht="15">
      <c r="A1032" s="282">
        <v>6509515</v>
      </c>
      <c r="B1032" s="282"/>
      <c r="C1032" s="182"/>
      <c r="D1032" s="179"/>
      <c r="E1032" s="286"/>
      <c r="T1032" s="33">
        <v>171537</v>
      </c>
    </row>
    <row r="1033" spans="1:20" ht="15">
      <c r="A1033" s="282">
        <v>6509659</v>
      </c>
      <c r="B1033" s="282"/>
      <c r="C1033" s="182"/>
      <c r="D1033" s="179"/>
      <c r="E1033" s="286"/>
      <c r="T1033" s="33">
        <v>171633</v>
      </c>
    </row>
    <row r="1034" spans="1:20" ht="15">
      <c r="A1034" s="282">
        <v>6509660</v>
      </c>
      <c r="B1034" s="282"/>
      <c r="C1034" s="182"/>
      <c r="D1034" s="179"/>
      <c r="E1034" s="286"/>
      <c r="T1034" s="33">
        <v>191862</v>
      </c>
    </row>
    <row r="1035" spans="1:20" ht="15">
      <c r="A1035" s="282">
        <v>6509655</v>
      </c>
      <c r="B1035" s="282"/>
      <c r="C1035" s="182"/>
      <c r="D1035" s="179"/>
      <c r="E1035" s="286"/>
      <c r="T1035" s="33">
        <v>122102</v>
      </c>
    </row>
    <row r="1036" spans="1:20" ht="15">
      <c r="A1036" s="282">
        <v>6506445</v>
      </c>
      <c r="B1036" s="282"/>
      <c r="C1036" s="182"/>
      <c r="D1036" s="179"/>
      <c r="E1036" s="286"/>
      <c r="T1036" s="33">
        <v>122902</v>
      </c>
    </row>
    <row r="1037" spans="1:20" ht="15">
      <c r="A1037" s="282">
        <v>6506843</v>
      </c>
      <c r="B1037" s="282"/>
      <c r="C1037" s="182"/>
      <c r="D1037" s="179"/>
      <c r="E1037" s="179"/>
      <c r="T1037" s="33">
        <v>121304</v>
      </c>
    </row>
    <row r="1038" spans="1:20" ht="15">
      <c r="A1038" s="282">
        <v>6500563</v>
      </c>
      <c r="B1038" s="282"/>
      <c r="C1038" s="182"/>
      <c r="D1038" s="179"/>
      <c r="E1038" s="286"/>
      <c r="T1038" s="33">
        <v>151614</v>
      </c>
    </row>
    <row r="1039" spans="1:20" ht="15">
      <c r="A1039" s="282">
        <v>6500566</v>
      </c>
      <c r="B1039" s="282"/>
      <c r="C1039" s="182"/>
      <c r="D1039" s="179"/>
      <c r="E1039" s="286"/>
      <c r="T1039" s="33">
        <v>181634</v>
      </c>
    </row>
    <row r="1040" spans="1:20" ht="15">
      <c r="A1040" s="282">
        <v>6503478</v>
      </c>
      <c r="B1040" s="282"/>
      <c r="C1040" s="182"/>
      <c r="D1040" s="179"/>
      <c r="E1040" s="182"/>
      <c r="T1040" s="33">
        <v>181635</v>
      </c>
    </row>
    <row r="1041" spans="1:20" ht="15">
      <c r="A1041" s="282">
        <v>6506846</v>
      </c>
      <c r="B1041" s="282"/>
      <c r="C1041" s="182"/>
      <c r="D1041" s="179"/>
      <c r="E1041" s="286"/>
      <c r="T1041" s="33">
        <v>112511</v>
      </c>
    </row>
    <row r="1042" spans="1:20" ht="15">
      <c r="A1042" s="282">
        <v>6509177</v>
      </c>
      <c r="B1042" s="282"/>
      <c r="C1042" s="182"/>
      <c r="D1042" s="179"/>
      <c r="E1042" s="286"/>
      <c r="T1042" s="33">
        <v>122904</v>
      </c>
    </row>
    <row r="1043" spans="1:20" ht="15">
      <c r="A1043" s="282">
        <v>6509178</v>
      </c>
      <c r="B1043" s="282"/>
      <c r="C1043" s="182"/>
      <c r="D1043" s="179"/>
      <c r="E1043" s="286"/>
      <c r="T1043" s="33">
        <v>141508</v>
      </c>
    </row>
    <row r="1044" spans="1:20" ht="15">
      <c r="A1044" s="282">
        <v>6509630</v>
      </c>
      <c r="B1044" s="282"/>
      <c r="C1044" s="182"/>
      <c r="D1044" s="179"/>
      <c r="E1044" s="182"/>
      <c r="T1044" s="33">
        <v>141511</v>
      </c>
    </row>
    <row r="1045" spans="1:20" ht="15">
      <c r="A1045" s="282">
        <v>6505352</v>
      </c>
      <c r="B1045" s="282"/>
      <c r="C1045" s="182"/>
      <c r="D1045" s="179"/>
      <c r="E1045" s="182"/>
      <c r="T1045" s="33">
        <v>161617</v>
      </c>
    </row>
    <row r="1046" spans="1:20">
      <c r="A1046" s="284" t="s">
        <v>579</v>
      </c>
      <c r="B1046" s="285"/>
      <c r="C1046" s="182"/>
      <c r="D1046" s="179"/>
      <c r="E1046" s="182"/>
      <c r="T1046" s="33">
        <v>171718</v>
      </c>
    </row>
    <row r="1047" spans="1:20">
      <c r="A1047" s="284" t="s">
        <v>580</v>
      </c>
      <c r="B1047" s="285"/>
      <c r="C1047" s="182"/>
      <c r="D1047" s="179"/>
      <c r="E1047" s="182"/>
      <c r="T1047" s="33">
        <v>182333</v>
      </c>
    </row>
    <row r="1048" spans="1:20">
      <c r="A1048" s="284" t="s">
        <v>581</v>
      </c>
      <c r="B1048" s="285"/>
      <c r="C1048" s="182"/>
      <c r="D1048" s="179"/>
      <c r="E1048" s="182"/>
      <c r="T1048" s="33">
        <v>182326</v>
      </c>
    </row>
    <row r="1049" spans="1:20">
      <c r="A1049" s="284" t="s">
        <v>582</v>
      </c>
      <c r="B1049" s="285"/>
      <c r="C1049" s="182"/>
      <c r="D1049" s="179"/>
      <c r="E1049" s="182"/>
      <c r="T1049" s="33">
        <v>182525</v>
      </c>
    </row>
    <row r="1050" spans="1:20">
      <c r="A1050" s="284" t="s">
        <v>583</v>
      </c>
      <c r="B1050" s="285"/>
      <c r="C1050" s="182"/>
      <c r="D1050" s="179"/>
      <c r="E1050" s="182"/>
      <c r="T1050" s="33">
        <v>172036</v>
      </c>
    </row>
    <row r="1051" spans="1:20">
      <c r="B1051" s="182"/>
      <c r="C1051" s="182"/>
      <c r="D1051" s="182"/>
      <c r="E1051" s="182"/>
      <c r="T1051" s="33">
        <v>182133</v>
      </c>
    </row>
    <row r="1052" spans="1:20">
      <c r="B1052" s="182"/>
      <c r="C1052" s="182"/>
      <c r="D1052" s="182"/>
      <c r="E1052" s="182"/>
      <c r="T1052" s="33">
        <v>172227</v>
      </c>
    </row>
    <row r="1053" spans="1:20">
      <c r="B1053" s="182"/>
      <c r="C1053" s="182"/>
      <c r="D1053" s="182"/>
      <c r="E1053" s="182"/>
      <c r="T1053" s="33">
        <v>182336</v>
      </c>
    </row>
    <row r="1054" spans="1:20">
      <c r="B1054" s="182"/>
      <c r="C1054" s="182"/>
      <c r="D1054" s="182"/>
      <c r="E1054" s="182"/>
      <c r="T1054" s="33">
        <v>182120</v>
      </c>
    </row>
    <row r="1055" spans="1:20">
      <c r="B1055" s="182"/>
      <c r="C1055" s="182"/>
      <c r="D1055" s="182"/>
      <c r="E1055" s="182"/>
      <c r="T1055" s="33">
        <v>182043</v>
      </c>
    </row>
    <row r="1056" spans="1:20">
      <c r="B1056" s="182"/>
      <c r="C1056" s="182"/>
      <c r="D1056" s="182"/>
      <c r="E1056" s="182"/>
      <c r="T1056" s="33">
        <v>171831</v>
      </c>
    </row>
    <row r="1057" spans="2:20">
      <c r="B1057" s="182"/>
      <c r="C1057" s="182"/>
      <c r="D1057" s="182"/>
      <c r="E1057" s="182"/>
      <c r="T1057" s="33">
        <v>172031</v>
      </c>
    </row>
    <row r="1058" spans="2:20">
      <c r="B1058" s="182"/>
      <c r="C1058" s="182"/>
      <c r="D1058" s="182"/>
      <c r="E1058" s="182"/>
      <c r="T1058" s="33">
        <v>152216</v>
      </c>
    </row>
    <row r="1059" spans="2:20">
      <c r="B1059" s="182"/>
      <c r="C1059" s="182"/>
      <c r="D1059" s="182"/>
      <c r="E1059" s="182"/>
      <c r="T1059" s="33">
        <v>162120</v>
      </c>
    </row>
    <row r="1060" spans="2:20">
      <c r="B1060" s="182"/>
      <c r="C1060" s="182"/>
      <c r="D1060" s="182"/>
      <c r="E1060" s="182"/>
      <c r="T1060" s="33">
        <v>172120</v>
      </c>
    </row>
    <row r="1061" spans="2:20">
      <c r="B1061" s="182"/>
      <c r="C1061" s="182"/>
      <c r="D1061" s="182"/>
      <c r="E1061" s="182"/>
      <c r="T1061" s="33">
        <v>162126</v>
      </c>
    </row>
    <row r="1062" spans="2:20">
      <c r="B1062" s="182"/>
      <c r="C1062" s="182"/>
      <c r="D1062" s="182"/>
      <c r="E1062" s="182"/>
      <c r="T1062" s="33">
        <v>172127</v>
      </c>
    </row>
    <row r="1063" spans="2:20">
      <c r="B1063" s="182"/>
      <c r="C1063" s="182"/>
      <c r="D1063" s="182"/>
      <c r="E1063" s="182"/>
      <c r="T1063" s="33">
        <v>132806</v>
      </c>
    </row>
    <row r="1064" spans="2:20">
      <c r="B1064" s="182"/>
      <c r="C1064" s="182"/>
      <c r="D1064" s="182"/>
      <c r="E1064" s="182"/>
      <c r="T1064" s="33">
        <v>152718</v>
      </c>
    </row>
    <row r="1065" spans="2:20">
      <c r="B1065" s="182"/>
      <c r="C1065" s="182"/>
      <c r="D1065" s="182"/>
      <c r="E1065" s="182"/>
      <c r="T1065" s="33">
        <v>152214</v>
      </c>
    </row>
    <row r="1066" spans="2:20">
      <c r="B1066" s="182"/>
      <c r="C1066" s="182"/>
      <c r="D1066" s="182"/>
      <c r="E1066" s="182"/>
      <c r="T1066" s="33">
        <v>171740</v>
      </c>
    </row>
    <row r="1067" spans="2:20">
      <c r="B1067" s="182"/>
      <c r="C1067" s="182"/>
      <c r="D1067" s="182"/>
      <c r="E1067" s="182"/>
      <c r="T1067" s="33">
        <v>181741</v>
      </c>
    </row>
    <row r="1068" spans="2:20">
      <c r="B1068" s="182"/>
      <c r="C1068" s="182"/>
      <c r="D1068" s="182"/>
      <c r="E1068" s="182"/>
      <c r="T1068" s="33">
        <v>181852</v>
      </c>
    </row>
    <row r="1069" spans="2:20">
      <c r="B1069" s="182"/>
      <c r="C1069" s="182"/>
      <c r="D1069" s="182"/>
      <c r="E1069" s="182"/>
      <c r="T1069" s="33">
        <v>191955</v>
      </c>
    </row>
    <row r="1070" spans="2:20">
      <c r="B1070" s="182"/>
      <c r="C1070" s="182"/>
      <c r="D1070" s="182"/>
      <c r="E1070" s="182"/>
      <c r="T1070" s="33">
        <v>171753</v>
      </c>
    </row>
    <row r="1071" spans="2:20">
      <c r="B1071" s="182"/>
      <c r="C1071" s="182"/>
      <c r="D1071" s="182"/>
      <c r="E1071" s="182"/>
      <c r="T1071" s="33">
        <v>171755</v>
      </c>
    </row>
    <row r="1072" spans="2:20">
      <c r="B1072" s="182"/>
      <c r="C1072" s="182"/>
      <c r="D1072" s="182"/>
      <c r="E1072" s="182"/>
      <c r="T1072" s="33">
        <v>181754</v>
      </c>
    </row>
    <row r="1073" spans="2:20">
      <c r="B1073" s="182"/>
      <c r="C1073" s="182"/>
      <c r="D1073" s="182"/>
      <c r="E1073" s="182"/>
      <c r="T1073" s="33">
        <v>181856</v>
      </c>
    </row>
    <row r="1074" spans="2:20">
      <c r="B1074" s="182"/>
      <c r="C1074" s="182"/>
      <c r="D1074" s="182"/>
      <c r="E1074" s="182"/>
      <c r="T1074" s="33">
        <v>151922</v>
      </c>
    </row>
    <row r="1075" spans="2:20">
      <c r="B1075" s="182"/>
      <c r="C1075" s="182"/>
      <c r="D1075" s="182"/>
      <c r="E1075" s="182"/>
      <c r="T1075" s="33">
        <v>151624</v>
      </c>
    </row>
    <row r="1076" spans="2:20">
      <c r="B1076" s="182"/>
      <c r="C1076" s="182"/>
      <c r="D1076" s="182"/>
      <c r="E1076" s="182"/>
      <c r="T1076" s="33">
        <v>161731</v>
      </c>
    </row>
    <row r="1077" spans="2:20">
      <c r="B1077" s="182"/>
      <c r="C1077" s="182"/>
      <c r="D1077" s="182"/>
      <c r="E1077" s="182"/>
      <c r="T1077" s="33">
        <v>171736</v>
      </c>
    </row>
    <row r="1078" spans="2:20">
      <c r="B1078" s="182"/>
      <c r="C1078" s="182"/>
      <c r="D1078" s="182"/>
      <c r="E1078" s="182"/>
      <c r="T1078" s="33">
        <v>171744</v>
      </c>
    </row>
    <row r="1079" spans="2:20">
      <c r="B1079" s="182"/>
      <c r="C1079" s="182"/>
      <c r="D1079" s="182"/>
      <c r="E1079" s="182"/>
      <c r="T1079" s="33">
        <v>161620</v>
      </c>
    </row>
    <row r="1080" spans="2:20">
      <c r="B1080" s="182"/>
      <c r="C1080" s="182"/>
      <c r="D1080" s="182"/>
      <c r="E1080" s="182"/>
      <c r="T1080" s="33">
        <v>151821</v>
      </c>
    </row>
    <row r="1081" spans="2:20">
      <c r="B1081" s="182"/>
      <c r="C1081" s="182"/>
      <c r="D1081" s="182"/>
      <c r="E1081" s="182"/>
      <c r="T1081" s="33">
        <v>161723</v>
      </c>
    </row>
    <row r="1082" spans="2:20">
      <c r="B1082" s="182"/>
      <c r="C1082" s="182"/>
      <c r="D1082" s="182"/>
      <c r="E1082" s="182"/>
      <c r="T1082" s="33">
        <v>171928</v>
      </c>
    </row>
    <row r="1083" spans="2:20">
      <c r="B1083" s="182"/>
      <c r="C1083" s="182"/>
      <c r="D1083" s="182"/>
      <c r="E1083" s="182"/>
      <c r="T1083" s="33">
        <v>161735</v>
      </c>
    </row>
    <row r="1084" spans="2:20">
      <c r="B1084" s="182"/>
      <c r="C1084" s="182"/>
      <c r="D1084" s="182"/>
      <c r="E1084" s="182"/>
      <c r="T1084" s="33">
        <v>171930</v>
      </c>
    </row>
    <row r="1085" spans="2:20">
      <c r="B1085" s="182"/>
      <c r="C1085" s="182"/>
      <c r="D1085" s="182"/>
      <c r="E1085" s="182"/>
      <c r="T1085" s="33">
        <v>171927</v>
      </c>
    </row>
    <row r="1086" spans="2:20">
      <c r="B1086" s="182"/>
      <c r="C1086" s="182"/>
      <c r="D1086" s="182"/>
      <c r="E1086" s="182"/>
      <c r="T1086" s="33">
        <v>141714</v>
      </c>
    </row>
    <row r="1087" spans="2:20">
      <c r="B1087" s="182"/>
      <c r="C1087" s="182"/>
      <c r="D1087" s="182"/>
      <c r="E1087" s="182"/>
      <c r="T1087" s="33">
        <v>151717</v>
      </c>
    </row>
    <row r="1088" spans="2:20">
      <c r="B1088" s="182"/>
      <c r="C1088" s="182"/>
      <c r="D1088" s="182"/>
      <c r="E1088" s="182"/>
      <c r="T1088" s="33">
        <v>141513</v>
      </c>
    </row>
    <row r="1089" spans="2:20">
      <c r="B1089" s="182"/>
      <c r="C1089" s="182"/>
      <c r="D1089" s="182"/>
      <c r="E1089" s="182"/>
      <c r="T1089" s="33">
        <v>141521</v>
      </c>
    </row>
    <row r="1090" spans="2:20">
      <c r="B1090" s="182"/>
      <c r="C1090" s="182"/>
      <c r="D1090" s="182"/>
      <c r="E1090" s="182"/>
      <c r="T1090" s="33">
        <v>151621</v>
      </c>
    </row>
    <row r="1091" spans="2:20">
      <c r="B1091" s="182"/>
      <c r="C1091" s="182"/>
      <c r="D1091" s="182"/>
      <c r="E1091" s="182"/>
      <c r="T1091" s="33">
        <v>161720</v>
      </c>
    </row>
    <row r="1092" spans="2:20">
      <c r="B1092" s="182"/>
      <c r="C1092" s="182"/>
      <c r="D1092" s="182"/>
      <c r="E1092" s="182"/>
      <c r="T1092" s="33">
        <v>161626</v>
      </c>
    </row>
    <row r="1093" spans="2:20">
      <c r="B1093" s="182"/>
      <c r="C1093" s="182"/>
      <c r="D1093" s="182"/>
      <c r="E1093" s="182"/>
      <c r="T1093" s="33">
        <v>191763</v>
      </c>
    </row>
    <row r="1094" spans="2:20">
      <c r="B1094" s="182"/>
      <c r="C1094" s="182"/>
      <c r="D1094" s="182"/>
      <c r="E1094" s="182"/>
      <c r="T1094" s="33">
        <v>181655</v>
      </c>
    </row>
    <row r="1095" spans="2:20">
      <c r="B1095" s="182"/>
      <c r="C1095" s="182"/>
      <c r="D1095" s="182"/>
      <c r="E1095" s="182"/>
      <c r="T1095" s="33">
        <v>191761</v>
      </c>
    </row>
    <row r="1096" spans="2:20">
      <c r="B1096" s="182"/>
      <c r="C1096" s="182"/>
      <c r="D1096" s="182"/>
      <c r="E1096" s="182"/>
      <c r="T1096" s="33">
        <v>181663</v>
      </c>
    </row>
    <row r="1097" spans="2:20">
      <c r="B1097" s="182"/>
      <c r="C1097" s="182"/>
      <c r="D1097" s="182"/>
      <c r="E1097" s="182"/>
      <c r="T1097" s="33">
        <v>191663</v>
      </c>
    </row>
    <row r="1098" spans="2:20">
      <c r="B1098" s="182"/>
      <c r="C1098" s="182"/>
      <c r="D1098" s="182"/>
      <c r="E1098" s="182"/>
      <c r="T1098" s="33">
        <v>191664</v>
      </c>
    </row>
    <row r="1099" spans="2:20">
      <c r="B1099" s="182"/>
      <c r="C1099" s="182"/>
      <c r="D1099" s="182"/>
      <c r="E1099" s="182"/>
      <c r="T1099" s="33">
        <v>181661</v>
      </c>
    </row>
    <row r="1100" spans="2:20">
      <c r="B1100" s="182"/>
      <c r="C1100" s="182"/>
      <c r="D1100" s="182"/>
      <c r="E1100" s="182"/>
      <c r="T1100" s="33">
        <v>191760</v>
      </c>
    </row>
    <row r="1101" spans="2:20">
      <c r="B1101" s="182"/>
      <c r="C1101" s="182"/>
      <c r="D1101" s="182"/>
      <c r="E1101" s="182"/>
      <c r="T1101" s="33">
        <v>191764</v>
      </c>
    </row>
    <row r="1102" spans="2:20">
      <c r="B1102" s="182"/>
      <c r="C1102" s="182"/>
      <c r="D1102" s="182"/>
      <c r="E1102" s="182"/>
      <c r="T1102" s="33">
        <v>191762</v>
      </c>
    </row>
    <row r="1103" spans="2:20">
      <c r="B1103" s="182"/>
      <c r="C1103" s="182"/>
      <c r="D1103" s="182"/>
      <c r="E1103" s="182"/>
      <c r="T1103" s="33">
        <v>171663</v>
      </c>
    </row>
    <row r="1104" spans="2:20">
      <c r="B1104" s="182"/>
      <c r="C1104" s="182"/>
      <c r="D1104" s="182"/>
      <c r="E1104" s="182"/>
      <c r="T1104" s="33">
        <v>161541</v>
      </c>
    </row>
    <row r="1105" spans="2:20">
      <c r="B1105" s="182"/>
      <c r="C1105" s="182"/>
      <c r="D1105" s="182"/>
      <c r="E1105" s="182"/>
      <c r="T1105" s="33">
        <v>161451</v>
      </c>
    </row>
    <row r="1106" spans="2:20">
      <c r="B1106" s="182"/>
      <c r="C1106" s="182"/>
      <c r="D1106" s="182"/>
      <c r="E1106" s="182"/>
      <c r="T1106" s="33">
        <v>171544</v>
      </c>
    </row>
    <row r="1107" spans="2:20">
      <c r="B1107" s="182"/>
      <c r="C1107" s="182"/>
      <c r="D1107" s="182"/>
      <c r="E1107" s="182"/>
      <c r="T1107" s="33">
        <v>171553</v>
      </c>
    </row>
    <row r="1108" spans="2:20">
      <c r="B1108" s="182"/>
      <c r="C1108" s="182"/>
      <c r="D1108" s="182"/>
      <c r="E1108" s="182"/>
      <c r="T1108" s="33">
        <v>114202</v>
      </c>
    </row>
    <row r="1109" spans="2:20">
      <c r="B1109" s="182"/>
      <c r="C1109" s="182"/>
      <c r="D1109" s="182"/>
      <c r="E1109" s="182"/>
      <c r="T1109" s="33">
        <v>114301</v>
      </c>
    </row>
    <row r="1110" spans="2:20">
      <c r="B1110" s="182"/>
      <c r="C1110" s="182"/>
      <c r="D1110" s="182"/>
      <c r="E1110" s="182"/>
      <c r="T1110" s="33">
        <v>124302</v>
      </c>
    </row>
    <row r="1111" spans="2:20">
      <c r="B1111" s="182"/>
      <c r="C1111" s="182"/>
      <c r="D1111" s="182"/>
      <c r="E1111" s="182"/>
      <c r="T1111" s="33">
        <v>114802</v>
      </c>
    </row>
    <row r="1112" spans="2:20">
      <c r="B1112" s="182"/>
      <c r="C1112" s="182"/>
      <c r="D1112" s="182"/>
      <c r="E1112" s="182"/>
      <c r="T1112" s="33">
        <v>114803</v>
      </c>
    </row>
    <row r="1113" spans="2:20">
      <c r="B1113" s="182"/>
      <c r="C1113" s="182"/>
      <c r="D1113" s="182"/>
      <c r="E1113" s="182"/>
      <c r="T1113" s="33">
        <v>126207</v>
      </c>
    </row>
    <row r="1114" spans="2:20">
      <c r="B1114" s="182"/>
      <c r="C1114" s="182"/>
      <c r="D1114" s="182"/>
      <c r="E1114" s="182"/>
      <c r="T1114" s="33">
        <v>125201</v>
      </c>
    </row>
    <row r="1115" spans="2:20">
      <c r="B1115" s="182"/>
      <c r="C1115" s="182"/>
      <c r="D1115" s="182"/>
      <c r="E1115" s="182"/>
      <c r="T1115" s="33">
        <v>114601</v>
      </c>
    </row>
    <row r="1116" spans="2:20">
      <c r="B1116" s="182"/>
      <c r="C1116" s="182"/>
      <c r="D1116" s="182"/>
      <c r="E1116" s="182"/>
      <c r="T1116" s="33">
        <v>114303</v>
      </c>
    </row>
    <row r="1117" spans="2:20">
      <c r="B1117" s="182"/>
      <c r="C1117" s="182"/>
      <c r="D1117" s="182"/>
      <c r="E1117" s="182"/>
      <c r="T1117" s="33">
        <v>124304</v>
      </c>
    </row>
    <row r="1118" spans="2:20">
      <c r="B1118" s="182"/>
      <c r="C1118" s="182"/>
      <c r="D1118" s="182"/>
      <c r="E1118" s="182"/>
      <c r="T1118" s="33">
        <v>114804</v>
      </c>
    </row>
    <row r="1119" spans="2:20">
      <c r="B1119" s="182"/>
      <c r="C1119" s="182"/>
      <c r="D1119" s="182"/>
      <c r="E1119" s="182"/>
      <c r="T1119" s="33">
        <v>125203</v>
      </c>
    </row>
    <row r="1120" spans="2:20">
      <c r="B1120" s="182"/>
      <c r="C1120" s="182"/>
      <c r="D1120" s="182"/>
      <c r="E1120" s="182"/>
      <c r="T1120" s="33">
        <v>124306</v>
      </c>
    </row>
    <row r="1121" spans="2:20">
      <c r="B1121" s="182"/>
      <c r="C1121" s="182"/>
      <c r="D1121" s="182"/>
      <c r="E1121" s="182"/>
      <c r="T1121" s="33">
        <v>125603</v>
      </c>
    </row>
    <row r="1122" spans="2:20">
      <c r="B1122" s="182"/>
      <c r="C1122" s="182"/>
      <c r="D1122" s="182"/>
      <c r="E1122" s="182"/>
      <c r="T1122" s="33">
        <v>125403</v>
      </c>
    </row>
    <row r="1123" spans="2:20">
      <c r="B1123" s="182"/>
      <c r="C1123" s="182"/>
      <c r="D1123" s="182"/>
      <c r="E1123" s="182"/>
      <c r="T1123" s="33">
        <v>114604</v>
      </c>
    </row>
    <row r="1124" spans="2:20">
      <c r="B1124" s="182"/>
      <c r="C1124" s="182"/>
      <c r="D1124" s="182"/>
      <c r="E1124" s="182"/>
      <c r="T1124" s="33">
        <v>125508</v>
      </c>
    </row>
    <row r="1125" spans="2:20">
      <c r="B1125" s="182"/>
      <c r="C1125" s="182"/>
      <c r="D1125" s="182"/>
      <c r="E1125" s="182"/>
      <c r="T1125" s="33">
        <v>120910</v>
      </c>
    </row>
    <row r="1126" spans="2:20">
      <c r="B1126" s="182"/>
      <c r="C1126" s="182"/>
      <c r="D1126" s="182"/>
      <c r="E1126" s="182"/>
      <c r="T1126" s="33">
        <v>130814</v>
      </c>
    </row>
    <row r="1127" spans="2:20">
      <c r="B1127" s="182"/>
      <c r="C1127" s="182"/>
      <c r="D1127" s="182"/>
      <c r="E1127" s="182"/>
      <c r="T1127" s="33">
        <v>130916</v>
      </c>
    </row>
    <row r="1128" spans="2:20">
      <c r="B1128" s="182"/>
      <c r="C1128" s="182"/>
      <c r="D1128" s="182"/>
      <c r="E1128" s="182"/>
      <c r="T1128" s="33">
        <v>120714</v>
      </c>
    </row>
    <row r="1129" spans="2:20">
      <c r="B1129" s="182"/>
      <c r="C1129" s="182"/>
      <c r="D1129" s="182"/>
      <c r="E1129" s="182"/>
      <c r="T1129" s="33">
        <v>120817</v>
      </c>
    </row>
    <row r="1130" spans="2:20">
      <c r="B1130" s="182"/>
      <c r="C1130" s="182"/>
      <c r="D1130" s="182"/>
      <c r="E1130" s="182"/>
      <c r="T1130" s="33">
        <v>131009</v>
      </c>
    </row>
    <row r="1131" spans="2:20">
      <c r="B1131" s="182"/>
      <c r="C1131" s="182"/>
      <c r="D1131" s="182"/>
      <c r="E1131" s="182"/>
      <c r="T1131" s="33">
        <v>120404</v>
      </c>
    </row>
    <row r="1132" spans="2:20">
      <c r="B1132" s="182"/>
      <c r="C1132" s="182"/>
      <c r="D1132" s="182"/>
      <c r="E1132" s="182"/>
      <c r="T1132" s="33">
        <v>146305</v>
      </c>
    </row>
    <row r="1133" spans="2:20">
      <c r="B1133" s="182"/>
      <c r="C1133" s="182"/>
      <c r="D1133" s="182"/>
      <c r="E1133" s="182"/>
      <c r="T1133" s="33">
        <v>140105</v>
      </c>
    </row>
    <row r="1134" spans="2:20">
      <c r="B1134" s="182"/>
      <c r="C1134" s="182"/>
      <c r="D1134" s="182"/>
      <c r="E1134" s="182"/>
      <c r="T1134" s="33">
        <v>140210</v>
      </c>
    </row>
    <row r="1135" spans="2:20">
      <c r="B1135" s="182"/>
      <c r="C1135" s="182"/>
      <c r="D1135" s="182"/>
      <c r="E1135" s="182"/>
      <c r="T1135" s="33">
        <v>156307</v>
      </c>
    </row>
    <row r="1136" spans="2:20">
      <c r="B1136" s="182"/>
      <c r="C1136" s="182"/>
      <c r="D1136" s="182"/>
      <c r="E1136" s="182"/>
      <c r="T1136" s="33">
        <v>146308</v>
      </c>
    </row>
    <row r="1137" spans="2:20">
      <c r="B1137" s="182"/>
      <c r="C1137" s="182"/>
      <c r="D1137" s="182"/>
      <c r="E1137" s="182"/>
      <c r="T1137" s="33">
        <v>140108</v>
      </c>
    </row>
    <row r="1138" spans="2:20">
      <c r="B1138" s="182"/>
      <c r="C1138" s="182"/>
      <c r="D1138" s="182"/>
      <c r="E1138" s="182"/>
      <c r="T1138" s="33">
        <v>141107</v>
      </c>
    </row>
    <row r="1139" spans="2:20">
      <c r="B1139" s="182"/>
      <c r="C1139" s="182"/>
      <c r="D1139" s="182"/>
      <c r="E1139" s="182"/>
      <c r="T1139" s="33">
        <v>140708</v>
      </c>
    </row>
    <row r="1140" spans="2:20">
      <c r="B1140" s="182"/>
      <c r="C1140" s="182"/>
      <c r="D1140" s="182"/>
      <c r="E1140" s="182"/>
      <c r="T1140" s="33">
        <v>150309</v>
      </c>
    </row>
    <row r="1141" spans="2:20">
      <c r="B1141" s="182"/>
      <c r="C1141" s="182"/>
      <c r="D1141" s="182"/>
      <c r="E1141" s="182"/>
      <c r="T1141" s="33">
        <v>150513</v>
      </c>
    </row>
    <row r="1142" spans="2:20">
      <c r="B1142" s="182"/>
      <c r="C1142" s="182"/>
      <c r="D1142" s="182"/>
      <c r="E1142" s="182"/>
      <c r="T1142" s="33">
        <v>161108</v>
      </c>
    </row>
    <row r="1143" spans="2:20">
      <c r="B1143" s="182"/>
      <c r="C1143" s="182"/>
      <c r="D1143" s="182"/>
      <c r="E1143" s="182"/>
      <c r="T1143" s="33">
        <v>161110</v>
      </c>
    </row>
    <row r="1144" spans="2:20">
      <c r="B1144" s="182"/>
      <c r="C1144" s="182"/>
      <c r="D1144" s="182"/>
      <c r="E1144" s="182"/>
      <c r="T1144" s="33">
        <v>171109</v>
      </c>
    </row>
    <row r="1145" spans="2:20">
      <c r="B1145" s="182"/>
      <c r="C1145" s="182"/>
      <c r="D1145" s="182"/>
      <c r="E1145" s="182"/>
      <c r="T1145" s="33">
        <v>171107</v>
      </c>
    </row>
    <row r="1146" spans="2:20">
      <c r="B1146" s="182"/>
      <c r="C1146" s="182"/>
      <c r="D1146" s="182"/>
      <c r="E1146" s="182"/>
      <c r="T1146" s="33">
        <v>170610</v>
      </c>
    </row>
    <row r="1147" spans="2:20">
      <c r="B1147" s="182"/>
      <c r="C1147" s="182"/>
      <c r="D1147" s="182"/>
      <c r="E1147" s="182"/>
      <c r="T1147" s="33">
        <v>171009</v>
      </c>
    </row>
    <row r="1148" spans="2:20">
      <c r="B1148" s="182"/>
      <c r="C1148" s="182"/>
      <c r="D1148" s="182"/>
      <c r="E1148" s="182"/>
      <c r="T1148" s="33">
        <v>171118</v>
      </c>
    </row>
    <row r="1149" spans="2:20">
      <c r="B1149" s="182"/>
      <c r="C1149" s="182"/>
      <c r="D1149" s="182"/>
      <c r="E1149" s="182"/>
      <c r="T1149" s="33">
        <v>180617</v>
      </c>
    </row>
    <row r="1150" spans="2:20">
      <c r="B1150" s="182"/>
      <c r="C1150" s="182"/>
      <c r="D1150" s="182"/>
      <c r="E1150" s="182"/>
      <c r="T1150" s="33">
        <v>151306</v>
      </c>
    </row>
    <row r="1151" spans="2:20">
      <c r="B1151" s="182"/>
      <c r="C1151" s="182"/>
      <c r="D1151" s="182"/>
      <c r="E1151" s="182"/>
      <c r="T1151" s="33">
        <v>161105</v>
      </c>
    </row>
    <row r="1152" spans="2:20">
      <c r="B1152" s="182"/>
      <c r="C1152" s="182"/>
      <c r="D1152" s="182"/>
      <c r="E1152" s="182"/>
      <c r="T1152" s="33">
        <v>161106</v>
      </c>
    </row>
    <row r="1153" spans="2:20">
      <c r="B1153" s="182"/>
      <c r="C1153" s="182"/>
      <c r="D1153" s="182"/>
      <c r="E1153" s="182"/>
      <c r="T1153" s="33">
        <v>171312</v>
      </c>
    </row>
    <row r="1154" spans="2:20">
      <c r="B1154" s="182"/>
      <c r="C1154" s="182"/>
      <c r="D1154" s="182"/>
      <c r="E1154" s="182"/>
      <c r="T1154" s="33">
        <v>170808</v>
      </c>
    </row>
    <row r="1155" spans="2:20">
      <c r="B1155" s="182"/>
      <c r="C1155" s="182"/>
      <c r="D1155" s="182"/>
      <c r="E1155" s="182"/>
      <c r="T1155" s="33">
        <v>171410</v>
      </c>
    </row>
    <row r="1156" spans="2:20">
      <c r="B1156" s="182"/>
      <c r="C1156" s="182"/>
      <c r="D1156" s="182"/>
      <c r="E1156" s="182"/>
      <c r="T1156" s="33">
        <v>140002</v>
      </c>
    </row>
    <row r="1157" spans="2:20">
      <c r="B1157" s="182"/>
      <c r="C1157" s="182"/>
      <c r="D1157" s="182"/>
      <c r="E1157" s="182"/>
      <c r="T1157" s="33">
        <v>160906</v>
      </c>
    </row>
    <row r="1158" spans="2:20">
      <c r="B1158" s="182"/>
      <c r="C1158" s="182"/>
      <c r="D1158" s="182"/>
      <c r="E1158" s="182"/>
      <c r="T1158" s="33">
        <v>161107</v>
      </c>
    </row>
    <row r="1159" spans="2:20">
      <c r="B1159" s="182"/>
      <c r="C1159" s="182"/>
      <c r="D1159" s="182"/>
      <c r="E1159" s="182"/>
      <c r="T1159" s="33">
        <v>161407</v>
      </c>
    </row>
    <row r="1160" spans="2:20">
      <c r="B1160" s="182"/>
      <c r="C1160" s="182"/>
      <c r="D1160" s="182"/>
      <c r="E1160" s="182"/>
      <c r="T1160" s="33">
        <v>130401</v>
      </c>
    </row>
    <row r="1161" spans="2:20">
      <c r="B1161" s="182"/>
      <c r="C1161" s="182"/>
      <c r="D1161" s="182"/>
      <c r="E1161" s="182"/>
      <c r="T1161" s="33">
        <v>135304</v>
      </c>
    </row>
    <row r="1162" spans="2:20">
      <c r="B1162" s="182"/>
      <c r="C1162" s="182"/>
      <c r="D1162" s="182"/>
      <c r="E1162" s="182"/>
      <c r="T1162" s="33">
        <v>130403</v>
      </c>
    </row>
    <row r="1163" spans="2:20">
      <c r="B1163" s="182"/>
      <c r="C1163" s="182"/>
      <c r="D1163" s="182"/>
      <c r="E1163" s="182"/>
      <c r="T1163" s="33">
        <v>151305</v>
      </c>
    </row>
    <row r="1164" spans="2:20">
      <c r="B1164" s="182"/>
      <c r="C1164" s="182"/>
      <c r="D1164" s="182"/>
      <c r="E1164" s="182"/>
      <c r="T1164" s="33">
        <v>160806</v>
      </c>
    </row>
    <row r="1165" spans="2:20">
      <c r="B1165" s="182"/>
      <c r="C1165" s="182"/>
      <c r="D1165" s="182"/>
      <c r="E1165" s="182"/>
      <c r="T1165" s="33">
        <v>154503</v>
      </c>
    </row>
    <row r="1166" spans="2:20">
      <c r="B1166" s="182"/>
      <c r="C1166" s="182"/>
      <c r="D1166" s="182"/>
      <c r="E1166" s="182"/>
      <c r="T1166" s="33">
        <v>144501</v>
      </c>
    </row>
    <row r="1167" spans="2:20">
      <c r="B1167" s="182"/>
      <c r="C1167" s="182"/>
      <c r="D1167" s="182"/>
      <c r="E1167" s="182"/>
      <c r="T1167" s="33">
        <v>160207</v>
      </c>
    </row>
    <row r="1168" spans="2:20">
      <c r="B1168" s="182"/>
      <c r="C1168" s="182"/>
      <c r="D1168" s="182"/>
      <c r="E1168" s="182"/>
      <c r="T1168" s="33">
        <v>170207</v>
      </c>
    </row>
    <row r="1169" spans="2:20">
      <c r="B1169" s="182"/>
      <c r="C1169" s="182"/>
      <c r="D1169" s="182"/>
      <c r="E1169" s="182"/>
      <c r="T1169" s="33">
        <v>184105</v>
      </c>
    </row>
    <row r="1170" spans="2:20">
      <c r="B1170" s="182"/>
      <c r="C1170" s="182"/>
      <c r="D1170" s="182"/>
      <c r="E1170" s="182"/>
      <c r="T1170" s="33">
        <v>180510</v>
      </c>
    </row>
    <row r="1171" spans="2:20">
      <c r="B1171" s="182"/>
      <c r="C1171" s="182"/>
      <c r="D1171" s="182"/>
      <c r="E1171" s="182"/>
      <c r="T1171" s="33">
        <v>144102</v>
      </c>
    </row>
    <row r="1172" spans="2:20">
      <c r="B1172" s="182"/>
      <c r="C1172" s="182"/>
      <c r="D1172" s="182"/>
      <c r="E1172" s="182"/>
      <c r="T1172" s="33">
        <v>144201</v>
      </c>
    </row>
    <row r="1173" spans="2:20">
      <c r="B1173" s="182"/>
      <c r="C1173" s="182"/>
      <c r="D1173" s="182"/>
      <c r="E1173" s="182"/>
      <c r="T1173" s="33">
        <v>144103</v>
      </c>
    </row>
    <row r="1174" spans="2:20">
      <c r="B1174" s="182"/>
      <c r="C1174" s="182"/>
      <c r="D1174" s="182"/>
      <c r="E1174" s="182"/>
      <c r="T1174" s="35">
        <v>144203</v>
      </c>
    </row>
    <row r="1175" spans="2:20">
      <c r="B1175" s="182"/>
      <c r="C1175" s="182"/>
      <c r="D1175" s="182"/>
      <c r="E1175" s="182"/>
      <c r="T1175" s="33">
        <v>164702</v>
      </c>
    </row>
    <row r="1176" spans="2:20">
      <c r="B1176" s="182"/>
      <c r="C1176" s="182"/>
      <c r="D1176" s="182"/>
      <c r="E1176" s="182"/>
      <c r="T1176" s="33">
        <v>165803</v>
      </c>
    </row>
    <row r="1177" spans="2:20">
      <c r="B1177" s="182"/>
      <c r="C1177" s="182"/>
      <c r="D1177" s="182"/>
      <c r="E1177" s="182"/>
      <c r="T1177" s="33">
        <v>164402</v>
      </c>
    </row>
    <row r="1178" spans="2:20">
      <c r="B1178" s="182"/>
      <c r="C1178" s="182"/>
      <c r="D1178" s="182"/>
      <c r="E1178" s="182"/>
      <c r="T1178" s="33">
        <v>171506</v>
      </c>
    </row>
    <row r="1179" spans="2:20">
      <c r="B1179" s="182"/>
      <c r="C1179" s="182"/>
      <c r="D1179" s="182"/>
      <c r="E1179" s="182"/>
      <c r="T1179" s="33">
        <v>171500</v>
      </c>
    </row>
    <row r="1180" spans="2:20">
      <c r="B1180" s="182"/>
      <c r="C1180" s="182"/>
      <c r="D1180" s="182"/>
      <c r="E1180" s="182"/>
      <c r="T1180" s="33">
        <v>144503</v>
      </c>
    </row>
    <row r="1181" spans="2:20">
      <c r="B1181" s="182"/>
      <c r="C1181" s="182"/>
      <c r="D1181" s="182"/>
      <c r="E1181" s="182"/>
      <c r="T1181" s="33">
        <v>154003</v>
      </c>
    </row>
    <row r="1182" spans="2:20">
      <c r="B1182" s="182"/>
      <c r="C1182" s="182"/>
      <c r="D1182" s="182"/>
      <c r="E1182" s="182"/>
      <c r="T1182" s="33">
        <v>163801</v>
      </c>
    </row>
    <row r="1183" spans="2:20">
      <c r="B1183" s="182"/>
      <c r="C1183" s="182"/>
      <c r="D1183" s="182"/>
      <c r="E1183" s="182"/>
      <c r="T1183" s="33">
        <v>171501</v>
      </c>
    </row>
    <row r="1184" spans="2:20">
      <c r="B1184" s="182"/>
      <c r="C1184" s="182"/>
      <c r="D1184" s="182"/>
      <c r="E1184" s="182"/>
      <c r="T1184" s="33">
        <v>174402</v>
      </c>
    </row>
    <row r="1185" spans="2:20">
      <c r="B1185" s="182"/>
      <c r="C1185" s="182"/>
      <c r="D1185" s="182"/>
      <c r="E1185" s="182"/>
      <c r="T1185" s="33">
        <v>180503</v>
      </c>
    </row>
    <row r="1186" spans="2:20">
      <c r="B1186" s="182"/>
      <c r="C1186" s="182"/>
      <c r="D1186" s="182"/>
      <c r="E1186" s="182"/>
      <c r="T1186" s="33">
        <v>180000</v>
      </c>
    </row>
    <row r="1187" spans="2:20">
      <c r="B1187" s="182"/>
      <c r="C1187" s="182"/>
      <c r="D1187" s="182"/>
      <c r="E1187" s="182"/>
      <c r="T1187" s="33">
        <v>180306</v>
      </c>
    </row>
    <row r="1188" spans="2:20">
      <c r="B1188" s="182"/>
      <c r="C1188" s="182"/>
      <c r="D1188" s="182"/>
      <c r="E1188" s="182"/>
      <c r="T1188" s="33">
        <v>144002</v>
      </c>
    </row>
    <row r="1189" spans="2:20">
      <c r="B1189" s="182"/>
      <c r="C1189" s="182"/>
      <c r="D1189" s="182"/>
      <c r="E1189" s="182"/>
      <c r="T1189" s="33">
        <v>160000</v>
      </c>
    </row>
    <row r="1190" spans="2:20">
      <c r="B1190" s="182"/>
      <c r="C1190" s="182"/>
      <c r="D1190" s="182"/>
      <c r="E1190" s="182"/>
      <c r="T1190" s="33">
        <v>184005</v>
      </c>
    </row>
    <row r="1191" spans="2:20">
      <c r="B1191" s="182"/>
      <c r="C1191" s="182"/>
      <c r="D1191" s="182"/>
      <c r="E1191" s="182"/>
      <c r="T1191" s="33">
        <v>185203</v>
      </c>
    </row>
    <row r="1192" spans="2:20">
      <c r="B1192" s="182"/>
      <c r="C1192" s="182"/>
      <c r="D1192" s="182"/>
      <c r="E1192" s="182"/>
      <c r="T1192" s="33">
        <v>193908</v>
      </c>
    </row>
    <row r="1193" spans="2:20">
      <c r="B1193" s="182"/>
      <c r="C1193" s="182"/>
      <c r="D1193" s="182"/>
      <c r="E1193" s="182"/>
      <c r="T1193" s="33">
        <v>163802</v>
      </c>
    </row>
    <row r="1194" spans="2:20">
      <c r="B1194" s="182"/>
      <c r="C1194" s="182"/>
      <c r="D1194" s="182"/>
      <c r="E1194" s="182"/>
      <c r="T1194" s="33">
        <v>171502</v>
      </c>
    </row>
    <row r="1195" spans="2:20">
      <c r="B1195" s="182"/>
      <c r="C1195" s="182"/>
      <c r="D1195" s="182"/>
      <c r="E1195" s="182"/>
      <c r="T1195" s="33">
        <v>170000</v>
      </c>
    </row>
    <row r="1196" spans="2:20">
      <c r="B1196" s="182"/>
      <c r="C1196" s="182"/>
      <c r="D1196" s="182"/>
      <c r="E1196" s="182"/>
      <c r="T1196" s="33">
        <v>180403</v>
      </c>
    </row>
    <row r="1197" spans="2:20">
      <c r="B1197" s="182"/>
      <c r="C1197" s="182"/>
      <c r="D1197" s="182"/>
      <c r="E1197" s="182"/>
      <c r="T1197" s="33">
        <v>193905</v>
      </c>
    </row>
    <row r="1198" spans="2:20">
      <c r="B1198" s="182"/>
      <c r="C1198" s="182"/>
      <c r="D1198" s="182"/>
      <c r="E1198" s="182"/>
      <c r="T1198" s="33">
        <v>193903</v>
      </c>
    </row>
    <row r="1199" spans="2:20">
      <c r="B1199" s="182"/>
      <c r="C1199" s="182"/>
      <c r="D1199" s="182"/>
      <c r="E1199" s="182"/>
      <c r="T1199" s="33">
        <v>170909</v>
      </c>
    </row>
    <row r="1200" spans="2:20">
      <c r="B1200" s="182"/>
      <c r="C1200" s="182"/>
      <c r="D1200" s="182"/>
      <c r="E1200" s="182"/>
      <c r="T1200" s="33">
        <v>190809</v>
      </c>
    </row>
    <row r="1201" spans="2:20">
      <c r="B1201" s="182"/>
      <c r="C1201" s="182"/>
      <c r="D1201" s="182"/>
      <c r="E1201" s="182"/>
      <c r="T1201" s="33">
        <v>190820</v>
      </c>
    </row>
    <row r="1202" spans="2:20">
      <c r="B1202" s="182"/>
      <c r="C1202" s="182"/>
      <c r="D1202" s="182"/>
      <c r="E1202" s="182"/>
      <c r="T1202" s="33">
        <v>180615</v>
      </c>
    </row>
    <row r="1203" spans="2:20">
      <c r="B1203" s="182"/>
      <c r="C1203" s="182"/>
      <c r="D1203" s="182"/>
      <c r="E1203" s="182"/>
      <c r="T1203" s="33">
        <v>180820</v>
      </c>
    </row>
    <row r="1204" spans="2:20">
      <c r="B1204" s="182"/>
      <c r="C1204" s="182"/>
      <c r="D1204" s="182"/>
      <c r="E1204" s="182"/>
      <c r="T1204" s="33">
        <v>190618</v>
      </c>
    </row>
    <row r="1205" spans="2:20">
      <c r="B1205" s="182"/>
      <c r="C1205" s="182"/>
      <c r="D1205" s="182"/>
      <c r="E1205" s="182"/>
      <c r="T1205" s="33">
        <v>190822</v>
      </c>
    </row>
    <row r="1206" spans="2:20">
      <c r="B1206" s="182"/>
      <c r="C1206" s="182"/>
      <c r="D1206" s="182"/>
      <c r="E1206" s="182"/>
      <c r="T1206" s="33">
        <v>190614</v>
      </c>
    </row>
    <row r="1207" spans="2:20">
      <c r="B1207" s="182"/>
      <c r="C1207" s="182"/>
      <c r="D1207" s="182"/>
      <c r="E1207" s="182"/>
      <c r="T1207" s="33">
        <v>190405</v>
      </c>
    </row>
    <row r="1208" spans="2:20">
      <c r="B1208" s="182"/>
      <c r="C1208" s="182"/>
      <c r="D1208" s="182"/>
      <c r="E1208" s="182"/>
      <c r="T1208" s="33">
        <v>190506</v>
      </c>
    </row>
    <row r="1209" spans="2:20">
      <c r="B1209" s="182"/>
      <c r="C1209" s="182"/>
      <c r="D1209" s="182"/>
      <c r="E1209" s="182"/>
      <c r="T1209" s="33">
        <v>193803</v>
      </c>
    </row>
    <row r="1210" spans="2:20">
      <c r="B1210" s="182"/>
      <c r="C1210" s="182"/>
      <c r="D1210" s="182"/>
      <c r="E1210" s="182"/>
      <c r="T1210" s="33">
        <v>190812</v>
      </c>
    </row>
    <row r="1211" spans="2:20">
      <c r="B1211" s="182"/>
      <c r="C1211" s="182"/>
      <c r="D1211" s="182"/>
      <c r="E1211" s="182"/>
      <c r="T1211" s="33">
        <v>191111</v>
      </c>
    </row>
    <row r="1212" spans="2:20">
      <c r="B1212" s="182"/>
      <c r="C1212" s="182"/>
      <c r="D1212" s="182"/>
      <c r="E1212" s="182"/>
      <c r="T1212" s="33">
        <v>191101</v>
      </c>
    </row>
    <row r="1213" spans="2:20">
      <c r="B1213" s="182"/>
      <c r="C1213" s="182"/>
      <c r="D1213" s="182"/>
      <c r="E1213" s="182"/>
      <c r="T1213" s="33">
        <v>191102</v>
      </c>
    </row>
    <row r="1214" spans="2:20">
      <c r="B1214" s="182"/>
      <c r="C1214" s="182"/>
      <c r="D1214" s="182"/>
      <c r="E1214" s="182"/>
      <c r="T1214" s="33">
        <v>190000</v>
      </c>
    </row>
    <row r="1215" spans="2:20">
      <c r="B1215" s="182"/>
      <c r="C1215" s="182"/>
      <c r="D1215" s="182"/>
      <c r="E1215" s="182"/>
      <c r="T1215" s="33">
        <v>190303</v>
      </c>
    </row>
    <row r="1216" spans="2:20">
      <c r="B1216" s="182"/>
      <c r="C1216" s="182"/>
      <c r="D1216" s="182"/>
      <c r="E1216" s="182"/>
      <c r="T1216" s="33">
        <v>194005</v>
      </c>
    </row>
    <row r="1217" spans="2:20">
      <c r="B1217" s="182"/>
      <c r="C1217" s="182"/>
      <c r="D1217" s="182"/>
      <c r="E1217" s="182"/>
      <c r="T1217" s="33">
        <v>194203</v>
      </c>
    </row>
    <row r="1218" spans="2:20">
      <c r="B1218" s="182"/>
      <c r="C1218" s="182"/>
      <c r="D1218" s="182"/>
      <c r="E1218" s="182"/>
      <c r="T1218" s="33">
        <v>194006</v>
      </c>
    </row>
    <row r="1219" spans="2:20">
      <c r="B1219" s="182"/>
      <c r="C1219" s="182"/>
      <c r="D1219" s="182"/>
      <c r="E1219" s="182"/>
      <c r="T1219" s="33">
        <v>194305</v>
      </c>
    </row>
    <row r="1220" spans="2:20">
      <c r="B1220" s="182"/>
      <c r="C1220" s="182"/>
      <c r="D1220" s="182"/>
      <c r="E1220" s="182"/>
      <c r="T1220" s="33">
        <v>194007</v>
      </c>
    </row>
    <row r="1221" spans="2:20">
      <c r="B1221" s="182"/>
      <c r="C1221" s="182"/>
      <c r="D1221" s="182"/>
      <c r="E1221" s="182"/>
      <c r="T1221" s="33">
        <v>121009</v>
      </c>
    </row>
    <row r="1222" spans="2:20">
      <c r="B1222" s="182"/>
      <c r="C1222" s="182"/>
      <c r="D1222" s="182"/>
      <c r="E1222" s="182"/>
      <c r="T1222" s="33">
        <v>120811</v>
      </c>
    </row>
    <row r="1223" spans="2:20">
      <c r="B1223" s="182"/>
      <c r="C1223" s="182"/>
      <c r="D1223" s="182"/>
      <c r="E1223" s="182"/>
      <c r="T1223" s="33">
        <v>131010</v>
      </c>
    </row>
    <row r="1224" spans="2:20">
      <c r="B1224" s="182"/>
      <c r="C1224" s="182"/>
      <c r="D1224" s="182"/>
      <c r="E1224" s="182"/>
      <c r="T1224" s="33">
        <v>141120</v>
      </c>
    </row>
    <row r="1225" spans="2:20">
      <c r="B1225" s="182"/>
      <c r="C1225" s="182"/>
      <c r="D1225" s="182"/>
      <c r="E1225" s="182"/>
      <c r="T1225" s="33">
        <v>131014</v>
      </c>
    </row>
    <row r="1226" spans="2:20">
      <c r="B1226" s="182"/>
      <c r="C1226" s="182"/>
      <c r="D1226" s="182"/>
      <c r="E1226" s="182"/>
      <c r="T1226" s="33">
        <v>171564</v>
      </c>
    </row>
    <row r="1227" spans="2:20">
      <c r="B1227" s="182"/>
      <c r="C1227" s="182"/>
      <c r="D1227" s="182"/>
      <c r="E1227" s="182"/>
      <c r="T1227" s="33">
        <v>171635</v>
      </c>
    </row>
    <row r="1228" spans="2:20">
      <c r="B1228" s="182"/>
      <c r="C1228" s="182"/>
      <c r="D1228" s="182"/>
      <c r="E1228" s="182"/>
      <c r="T1228" s="33">
        <v>171654</v>
      </c>
    </row>
    <row r="1229" spans="2:20">
      <c r="B1229" s="182"/>
      <c r="C1229" s="182"/>
      <c r="D1229" s="182"/>
      <c r="E1229" s="182"/>
      <c r="T1229" s="33">
        <v>171641</v>
      </c>
    </row>
    <row r="1230" spans="2:20">
      <c r="B1230" s="182"/>
      <c r="C1230" s="182"/>
      <c r="D1230" s="182"/>
      <c r="E1230" s="182"/>
      <c r="T1230" s="33">
        <v>171545</v>
      </c>
    </row>
    <row r="1231" spans="2:20">
      <c r="B1231" s="182"/>
      <c r="C1231" s="182"/>
      <c r="D1231" s="182"/>
      <c r="E1231" s="182"/>
      <c r="T1231" s="33">
        <v>181643</v>
      </c>
    </row>
    <row r="1232" spans="2:20">
      <c r="B1232" s="182"/>
      <c r="C1232" s="182"/>
      <c r="D1232" s="182"/>
      <c r="E1232" s="182"/>
      <c r="T1232" s="33">
        <v>161632</v>
      </c>
    </row>
    <row r="1233" spans="2:20">
      <c r="B1233" s="182"/>
      <c r="C1233" s="182"/>
      <c r="D1233" s="182"/>
      <c r="E1233" s="182"/>
      <c r="T1233" s="33">
        <v>161641</v>
      </c>
    </row>
    <row r="1234" spans="2:20">
      <c r="B1234" s="182"/>
      <c r="C1234" s="182"/>
      <c r="D1234" s="182"/>
      <c r="E1234" s="182"/>
      <c r="T1234" s="33">
        <v>161640</v>
      </c>
    </row>
    <row r="1235" spans="2:20">
      <c r="B1235" s="182"/>
      <c r="C1235" s="182"/>
      <c r="D1235" s="182"/>
      <c r="E1235" s="182"/>
      <c r="T1235" s="33">
        <v>171643</v>
      </c>
    </row>
    <row r="1236" spans="2:20">
      <c r="B1236" s="182"/>
      <c r="C1236" s="182"/>
      <c r="D1236" s="182"/>
      <c r="E1236" s="182"/>
      <c r="T1236" s="33">
        <v>181649</v>
      </c>
    </row>
    <row r="1237" spans="2:20">
      <c r="B1237" s="182"/>
      <c r="C1237" s="182"/>
      <c r="D1237" s="182"/>
      <c r="E1237" s="182"/>
      <c r="T1237" s="33">
        <v>161542</v>
      </c>
    </row>
    <row r="1238" spans="2:20">
      <c r="B1238" s="182"/>
      <c r="C1238" s="182"/>
      <c r="D1238" s="182"/>
      <c r="E1238" s="182"/>
      <c r="T1238" s="33">
        <v>161544</v>
      </c>
    </row>
    <row r="1239" spans="2:20">
      <c r="B1239" s="182"/>
      <c r="C1239" s="182"/>
      <c r="D1239" s="182"/>
      <c r="E1239" s="182"/>
      <c r="T1239" s="33">
        <v>161546</v>
      </c>
    </row>
    <row r="1240" spans="2:20">
      <c r="B1240" s="182"/>
      <c r="C1240" s="182"/>
      <c r="D1240" s="182"/>
      <c r="E1240" s="182"/>
      <c r="T1240" s="33">
        <v>141228</v>
      </c>
    </row>
    <row r="1241" spans="2:20">
      <c r="B1241" s="182"/>
      <c r="C1241" s="182"/>
      <c r="D1241" s="182"/>
      <c r="E1241" s="182"/>
      <c r="T1241" s="33">
        <v>141323</v>
      </c>
    </row>
    <row r="1242" spans="2:20">
      <c r="B1242" s="182"/>
      <c r="C1242" s="182"/>
      <c r="D1242" s="182"/>
      <c r="E1242" s="182"/>
      <c r="T1242" s="33">
        <v>151423</v>
      </c>
    </row>
    <row r="1243" spans="2:20">
      <c r="B1243" s="182"/>
      <c r="C1243" s="182"/>
      <c r="D1243" s="182"/>
      <c r="E1243" s="182"/>
      <c r="T1243" s="33">
        <v>151435</v>
      </c>
    </row>
    <row r="1244" spans="2:20">
      <c r="B1244" s="182"/>
      <c r="C1244" s="182"/>
      <c r="D1244" s="182"/>
      <c r="E1244" s="182"/>
      <c r="T1244" s="33">
        <v>151530</v>
      </c>
    </row>
    <row r="1245" spans="2:20">
      <c r="B1245" s="182"/>
      <c r="C1245" s="182"/>
      <c r="D1245" s="182"/>
      <c r="E1245" s="182"/>
      <c r="T1245" s="33">
        <v>161529</v>
      </c>
    </row>
    <row r="1246" spans="2:20">
      <c r="B1246" s="182"/>
      <c r="C1246" s="182"/>
      <c r="D1246" s="182"/>
      <c r="E1246" s="182"/>
      <c r="T1246" s="33">
        <v>161532</v>
      </c>
    </row>
    <row r="1247" spans="2:20">
      <c r="B1247" s="182"/>
      <c r="C1247" s="182"/>
      <c r="D1247" s="182"/>
      <c r="E1247" s="182"/>
      <c r="T1247" s="33">
        <v>141419</v>
      </c>
    </row>
    <row r="1248" spans="2:20">
      <c r="B1248" s="182"/>
      <c r="C1248" s="182"/>
      <c r="D1248" s="182"/>
      <c r="E1248" s="182"/>
      <c r="T1248" s="33">
        <v>141418</v>
      </c>
    </row>
    <row r="1249" spans="2:20">
      <c r="B1249" s="182"/>
      <c r="C1249" s="182"/>
      <c r="D1249" s="182"/>
      <c r="E1249" s="182"/>
      <c r="T1249" s="33">
        <v>141420</v>
      </c>
    </row>
    <row r="1250" spans="2:20">
      <c r="B1250" s="182"/>
      <c r="C1250" s="182"/>
      <c r="D1250" s="182"/>
      <c r="E1250" s="182"/>
      <c r="T1250" s="33">
        <v>161434</v>
      </c>
    </row>
    <row r="1251" spans="2:20">
      <c r="B1251" s="182"/>
      <c r="C1251" s="182"/>
      <c r="D1251" s="182"/>
      <c r="E1251" s="182"/>
      <c r="T1251" s="33">
        <v>161624</v>
      </c>
    </row>
    <row r="1252" spans="2:20">
      <c r="B1252" s="182"/>
      <c r="C1252" s="182"/>
      <c r="D1252" s="182"/>
      <c r="E1252" s="182"/>
      <c r="T1252" s="33">
        <v>181629</v>
      </c>
    </row>
    <row r="1253" spans="2:20">
      <c r="B1253" s="182"/>
      <c r="C1253" s="182"/>
      <c r="D1253" s="182"/>
      <c r="E1253" s="182"/>
      <c r="T1253" s="33">
        <v>181648</v>
      </c>
    </row>
    <row r="1254" spans="2:20">
      <c r="B1254" s="182"/>
      <c r="C1254" s="182"/>
      <c r="D1254" s="182"/>
      <c r="E1254" s="182"/>
      <c r="T1254" s="33">
        <v>181442</v>
      </c>
    </row>
    <row r="1255" spans="2:20">
      <c r="B1255" s="182"/>
      <c r="C1255" s="182"/>
      <c r="D1255" s="182"/>
      <c r="E1255" s="182"/>
      <c r="T1255" s="33">
        <v>181531</v>
      </c>
    </row>
    <row r="1256" spans="2:20">
      <c r="B1256" s="182"/>
      <c r="C1256" s="182"/>
      <c r="D1256" s="182"/>
      <c r="E1256" s="182"/>
      <c r="T1256" s="33">
        <v>171532</v>
      </c>
    </row>
    <row r="1257" spans="2:20">
      <c r="B1257" s="182"/>
      <c r="C1257" s="182"/>
      <c r="D1257" s="182"/>
      <c r="E1257" s="182"/>
      <c r="T1257" s="36">
        <v>181536</v>
      </c>
    </row>
    <row r="1258" spans="2:20">
      <c r="B1258" s="182"/>
      <c r="C1258" s="182"/>
      <c r="D1258" s="182"/>
      <c r="E1258" s="182"/>
      <c r="T1258" s="33">
        <v>181346</v>
      </c>
    </row>
    <row r="1259" spans="2:20">
      <c r="B1259" s="182"/>
      <c r="C1259" s="182"/>
      <c r="D1259" s="182"/>
      <c r="E1259" s="182"/>
      <c r="T1259" s="33">
        <v>181443</v>
      </c>
    </row>
    <row r="1260" spans="2:20">
      <c r="B1260" s="182"/>
      <c r="C1260" s="182"/>
      <c r="D1260" s="182"/>
      <c r="E1260" s="182"/>
      <c r="T1260" s="33">
        <v>181350</v>
      </c>
    </row>
    <row r="1261" spans="2:20">
      <c r="B1261" s="182"/>
      <c r="C1261" s="182"/>
      <c r="D1261" s="182"/>
      <c r="E1261" s="182"/>
      <c r="T1261" s="33">
        <v>161522</v>
      </c>
    </row>
    <row r="1262" spans="2:20">
      <c r="B1262" s="182"/>
      <c r="C1262" s="182"/>
      <c r="D1262" s="182"/>
      <c r="E1262" s="182"/>
      <c r="T1262" s="33">
        <v>171514</v>
      </c>
    </row>
    <row r="1263" spans="2:20">
      <c r="B1263" s="182"/>
      <c r="C1263" s="182"/>
      <c r="D1263" s="182"/>
      <c r="E1263" s="182"/>
      <c r="T1263" s="33">
        <v>171518</v>
      </c>
    </row>
    <row r="1264" spans="2:20">
      <c r="B1264" s="182"/>
      <c r="C1264" s="182"/>
      <c r="D1264" s="182"/>
      <c r="E1264" s="182"/>
      <c r="T1264" s="33">
        <v>171424</v>
      </c>
    </row>
    <row r="1265" spans="2:20">
      <c r="B1265" s="182"/>
      <c r="C1265" s="182"/>
      <c r="D1265" s="182"/>
      <c r="E1265" s="182"/>
      <c r="T1265" s="33">
        <v>171520</v>
      </c>
    </row>
    <row r="1266" spans="2:20">
      <c r="B1266" s="182"/>
      <c r="C1266" s="182"/>
      <c r="D1266" s="182"/>
      <c r="E1266" s="182"/>
      <c r="T1266" s="33">
        <v>181438</v>
      </c>
    </row>
    <row r="1267" spans="2:20">
      <c r="B1267" s="182"/>
      <c r="C1267" s="182"/>
      <c r="D1267" s="182"/>
      <c r="E1267" s="182"/>
      <c r="T1267" s="33">
        <v>161329</v>
      </c>
    </row>
    <row r="1268" spans="2:20">
      <c r="B1268" s="182"/>
      <c r="C1268" s="182"/>
      <c r="D1268" s="182"/>
      <c r="E1268" s="182"/>
      <c r="T1268" s="33">
        <v>161431</v>
      </c>
    </row>
    <row r="1269" spans="2:20">
      <c r="B1269" s="182"/>
      <c r="C1269" s="182"/>
      <c r="D1269" s="182"/>
      <c r="E1269" s="182"/>
      <c r="T1269" s="33">
        <v>161526</v>
      </c>
    </row>
    <row r="1270" spans="2:20">
      <c r="B1270" s="182"/>
      <c r="C1270" s="182"/>
      <c r="D1270" s="182"/>
      <c r="E1270" s="182"/>
      <c r="T1270" s="33">
        <v>171524</v>
      </c>
    </row>
    <row r="1271" spans="2:20">
      <c r="B1271" s="182"/>
      <c r="C1271" s="182"/>
      <c r="D1271" s="182"/>
      <c r="E1271" s="182"/>
      <c r="T1271" s="33">
        <v>181436</v>
      </c>
    </row>
    <row r="1272" spans="2:20">
      <c r="B1272" s="182"/>
      <c r="C1272" s="182"/>
      <c r="D1272" s="182"/>
      <c r="E1272" s="182"/>
      <c r="T1272" s="33">
        <v>171525</v>
      </c>
    </row>
    <row r="1273" spans="2:20">
      <c r="B1273" s="182"/>
      <c r="C1273" s="182"/>
      <c r="D1273" s="182"/>
      <c r="E1273" s="182"/>
      <c r="T1273" s="33">
        <v>181435</v>
      </c>
    </row>
    <row r="1274" spans="2:20">
      <c r="B1274" s="182"/>
      <c r="C1274" s="182"/>
      <c r="D1274" s="182"/>
      <c r="E1274" s="182"/>
      <c r="T1274" s="33">
        <v>131318</v>
      </c>
    </row>
    <row r="1275" spans="2:20">
      <c r="B1275" s="182"/>
      <c r="C1275" s="182"/>
      <c r="D1275" s="182"/>
      <c r="E1275" s="182"/>
      <c r="T1275" s="33">
        <v>141318</v>
      </c>
    </row>
    <row r="1276" spans="2:20">
      <c r="B1276" s="182"/>
      <c r="C1276" s="182"/>
      <c r="D1276" s="182"/>
      <c r="E1276" s="182"/>
      <c r="T1276" s="33">
        <v>141316</v>
      </c>
    </row>
    <row r="1277" spans="2:20">
      <c r="B1277" s="182"/>
      <c r="C1277" s="182"/>
      <c r="D1277" s="182"/>
      <c r="E1277" s="182"/>
      <c r="T1277" s="33">
        <v>161330</v>
      </c>
    </row>
    <row r="1278" spans="2:20">
      <c r="B1278" s="182"/>
      <c r="C1278" s="182"/>
      <c r="D1278" s="182"/>
      <c r="E1278" s="182"/>
      <c r="T1278" s="33">
        <v>151523</v>
      </c>
    </row>
    <row r="1279" spans="2:20">
      <c r="B1279" s="182"/>
      <c r="C1279" s="182"/>
      <c r="D1279" s="182"/>
      <c r="E1279" s="182"/>
      <c r="T1279" s="33">
        <v>171341</v>
      </c>
    </row>
    <row r="1280" spans="2:20">
      <c r="B1280" s="182"/>
      <c r="C1280" s="182"/>
      <c r="D1280" s="182"/>
      <c r="E1280" s="182"/>
      <c r="T1280" s="33">
        <v>181535</v>
      </c>
    </row>
    <row r="1281" spans="2:20">
      <c r="B1281" s="182"/>
      <c r="C1281" s="182"/>
      <c r="D1281" s="182"/>
      <c r="E1281" s="182"/>
      <c r="T1281" s="33">
        <v>181343</v>
      </c>
    </row>
    <row r="1282" spans="2:20">
      <c r="B1282" s="182"/>
      <c r="C1282" s="182"/>
      <c r="D1282" s="182"/>
      <c r="E1282" s="182"/>
      <c r="T1282" s="33">
        <v>181444</v>
      </c>
    </row>
    <row r="1283" spans="2:20">
      <c r="B1283" s="182"/>
      <c r="C1283" s="182"/>
      <c r="D1283" s="182"/>
      <c r="E1283" s="182"/>
      <c r="T1283" s="33">
        <v>181547</v>
      </c>
    </row>
    <row r="1284" spans="2:20">
      <c r="B1284" s="182"/>
      <c r="C1284" s="182"/>
      <c r="D1284" s="182"/>
      <c r="E1284" s="182"/>
      <c r="T1284" s="33">
        <v>161441</v>
      </c>
    </row>
    <row r="1285" spans="2:20">
      <c r="B1285" s="182"/>
      <c r="C1285" s="182"/>
      <c r="D1285" s="182"/>
      <c r="E1285" s="182"/>
      <c r="T1285" s="33">
        <v>161440</v>
      </c>
    </row>
    <row r="1286" spans="2:20">
      <c r="B1286" s="182"/>
      <c r="C1286" s="182"/>
      <c r="D1286" s="182"/>
      <c r="E1286" s="182"/>
      <c r="T1286" s="33">
        <v>171444</v>
      </c>
    </row>
    <row r="1287" spans="2:20">
      <c r="B1287" s="182"/>
      <c r="C1287" s="182"/>
      <c r="D1287" s="182"/>
      <c r="E1287" s="182"/>
      <c r="T1287" s="33">
        <v>161450</v>
      </c>
    </row>
    <row r="1288" spans="2:20">
      <c r="B1288" s="182"/>
      <c r="C1288" s="182"/>
      <c r="D1288" s="182"/>
      <c r="E1288" s="182"/>
      <c r="T1288" s="33">
        <v>181447</v>
      </c>
    </row>
    <row r="1289" spans="2:20">
      <c r="B1289" s="182"/>
      <c r="C1289" s="182"/>
      <c r="D1289" s="182"/>
      <c r="E1289" s="182"/>
      <c r="T1289" s="33">
        <v>181448</v>
      </c>
    </row>
    <row r="1290" spans="2:20">
      <c r="B1290" s="182"/>
      <c r="C1290" s="182"/>
      <c r="D1290" s="182"/>
      <c r="E1290" s="182"/>
      <c r="T1290" s="33">
        <v>141227</v>
      </c>
    </row>
    <row r="1291" spans="2:20">
      <c r="B1291" s="182"/>
      <c r="C1291" s="182"/>
      <c r="D1291" s="182"/>
      <c r="E1291" s="182"/>
      <c r="T1291" s="33">
        <v>151331</v>
      </c>
    </row>
    <row r="1292" spans="2:20">
      <c r="B1292" s="182"/>
      <c r="C1292" s="182"/>
      <c r="D1292" s="182"/>
      <c r="E1292" s="182"/>
      <c r="T1292" s="33">
        <v>151334</v>
      </c>
    </row>
    <row r="1293" spans="2:20">
      <c r="B1293" s="182"/>
      <c r="C1293" s="182"/>
      <c r="D1293" s="182"/>
      <c r="E1293" s="182"/>
      <c r="T1293" s="33">
        <v>151340</v>
      </c>
    </row>
    <row r="1294" spans="2:20">
      <c r="B1294" s="182"/>
      <c r="C1294" s="182"/>
      <c r="D1294" s="182"/>
      <c r="E1294" s="182"/>
      <c r="T1294" s="33">
        <v>141224</v>
      </c>
    </row>
    <row r="1295" spans="2:20">
      <c r="B1295" s="182"/>
      <c r="C1295" s="182"/>
      <c r="D1295" s="182"/>
      <c r="E1295" s="182"/>
      <c r="T1295" s="33">
        <v>141230</v>
      </c>
    </row>
    <row r="1296" spans="2:20">
      <c r="B1296" s="182"/>
      <c r="C1296" s="182"/>
      <c r="D1296" s="182"/>
      <c r="E1296" s="182"/>
      <c r="T1296" s="33">
        <v>161340</v>
      </c>
    </row>
    <row r="1297" spans="2:20">
      <c r="B1297" s="182"/>
      <c r="C1297" s="182"/>
      <c r="D1297" s="182"/>
      <c r="E1297" s="182"/>
      <c r="T1297" s="33">
        <v>161435</v>
      </c>
    </row>
    <row r="1298" spans="2:20">
      <c r="B1298" s="182"/>
      <c r="C1298" s="182"/>
      <c r="D1298" s="182"/>
      <c r="E1298" s="182"/>
      <c r="T1298" s="33">
        <v>131026</v>
      </c>
    </row>
    <row r="1299" spans="2:20">
      <c r="B1299" s="182"/>
      <c r="C1299" s="182"/>
      <c r="D1299" s="182"/>
      <c r="E1299" s="182"/>
      <c r="T1299" s="33">
        <v>120917</v>
      </c>
    </row>
    <row r="1300" spans="2:20">
      <c r="B1300" s="182"/>
      <c r="C1300" s="182"/>
      <c r="D1300" s="182"/>
      <c r="E1300" s="182"/>
      <c r="T1300" s="33">
        <v>141225</v>
      </c>
    </row>
    <row r="1301" spans="2:20">
      <c r="B1301" s="182"/>
      <c r="C1301" s="182"/>
      <c r="D1301" s="182"/>
      <c r="E1301" s="182"/>
      <c r="T1301" s="33">
        <v>131019</v>
      </c>
    </row>
    <row r="1302" spans="2:20">
      <c r="B1302" s="182"/>
      <c r="C1302" s="182"/>
      <c r="D1302" s="182"/>
      <c r="E1302" s="182"/>
      <c r="T1302" s="33">
        <v>131022</v>
      </c>
    </row>
    <row r="1303" spans="2:20">
      <c r="B1303" s="182"/>
      <c r="C1303" s="182"/>
      <c r="D1303" s="182"/>
      <c r="E1303" s="182"/>
      <c r="T1303" s="33">
        <v>161360</v>
      </c>
    </row>
    <row r="1304" spans="2:20">
      <c r="B1304" s="182"/>
      <c r="C1304" s="182"/>
      <c r="D1304" s="182"/>
      <c r="E1304" s="182"/>
      <c r="T1304" s="33">
        <v>161349</v>
      </c>
    </row>
    <row r="1305" spans="2:20">
      <c r="B1305" s="182"/>
      <c r="C1305" s="182"/>
      <c r="D1305" s="182"/>
      <c r="E1305" s="182"/>
      <c r="T1305" s="33">
        <v>161452</v>
      </c>
    </row>
    <row r="1306" spans="2:20">
      <c r="B1306" s="182"/>
      <c r="C1306" s="182"/>
      <c r="D1306" s="182"/>
      <c r="E1306" s="182"/>
      <c r="T1306" s="33">
        <v>171462</v>
      </c>
    </row>
    <row r="1307" spans="2:20">
      <c r="B1307" s="182"/>
      <c r="C1307" s="182"/>
      <c r="D1307" s="182"/>
      <c r="E1307" s="182"/>
      <c r="T1307" s="33">
        <v>161343</v>
      </c>
    </row>
    <row r="1308" spans="2:20">
      <c r="B1308" s="182"/>
      <c r="C1308" s="182"/>
      <c r="D1308" s="182"/>
      <c r="E1308" s="182"/>
      <c r="T1308" s="33">
        <v>151247</v>
      </c>
    </row>
    <row r="1309" spans="2:20">
      <c r="B1309" s="182"/>
      <c r="C1309" s="182"/>
      <c r="D1309" s="182"/>
      <c r="E1309" s="182"/>
      <c r="T1309" s="33">
        <v>161357</v>
      </c>
    </row>
    <row r="1310" spans="2:20">
      <c r="B1310" s="182"/>
      <c r="C1310" s="182"/>
      <c r="D1310" s="182"/>
      <c r="E1310" s="182"/>
      <c r="T1310" s="33">
        <v>161359</v>
      </c>
    </row>
    <row r="1311" spans="2:20">
      <c r="B1311" s="182"/>
      <c r="C1311" s="182"/>
      <c r="D1311" s="182"/>
      <c r="E1311" s="182"/>
      <c r="T1311" s="33">
        <v>161459</v>
      </c>
    </row>
    <row r="1312" spans="2:20">
      <c r="B1312" s="182"/>
      <c r="C1312" s="182"/>
      <c r="D1312" s="182"/>
      <c r="E1312" s="182"/>
      <c r="T1312" s="33">
        <v>161462</v>
      </c>
    </row>
    <row r="1313" spans="2:20">
      <c r="B1313" s="182"/>
      <c r="C1313" s="182"/>
      <c r="D1313" s="182"/>
      <c r="E1313" s="182"/>
      <c r="T1313" s="33">
        <v>151157</v>
      </c>
    </row>
    <row r="1314" spans="2:20">
      <c r="B1314" s="182"/>
      <c r="C1314" s="182"/>
      <c r="D1314" s="182"/>
      <c r="E1314" s="182"/>
      <c r="T1314" s="33">
        <v>151164</v>
      </c>
    </row>
    <row r="1315" spans="2:20">
      <c r="B1315" s="182"/>
      <c r="C1315" s="182"/>
      <c r="D1315" s="182"/>
      <c r="E1315" s="182"/>
      <c r="T1315" s="33">
        <v>151263</v>
      </c>
    </row>
    <row r="1316" spans="2:20">
      <c r="B1316" s="182"/>
      <c r="C1316" s="182"/>
      <c r="D1316" s="182"/>
      <c r="E1316" s="182"/>
      <c r="T1316" s="33">
        <v>161257</v>
      </c>
    </row>
    <row r="1317" spans="2:20">
      <c r="B1317" s="182"/>
      <c r="C1317" s="182"/>
      <c r="D1317" s="182"/>
      <c r="E1317" s="182"/>
      <c r="T1317" s="33">
        <v>161356</v>
      </c>
    </row>
    <row r="1318" spans="2:20">
      <c r="B1318" s="182"/>
      <c r="C1318" s="182"/>
      <c r="D1318" s="182"/>
      <c r="E1318" s="182"/>
      <c r="T1318" s="33">
        <v>171350</v>
      </c>
    </row>
    <row r="1319" spans="2:20">
      <c r="B1319" s="182"/>
      <c r="C1319" s="182"/>
      <c r="D1319" s="182"/>
      <c r="E1319" s="182"/>
      <c r="T1319" s="33">
        <v>161350</v>
      </c>
    </row>
    <row r="1320" spans="2:20">
      <c r="B1320" s="182"/>
      <c r="C1320" s="182"/>
      <c r="D1320" s="182"/>
      <c r="E1320" s="182"/>
      <c r="T1320" s="33">
        <v>171353</v>
      </c>
    </row>
    <row r="1321" spans="2:20">
      <c r="B1321" s="182"/>
      <c r="C1321" s="182"/>
      <c r="D1321" s="182"/>
      <c r="E1321" s="182"/>
      <c r="T1321" s="33">
        <v>161260</v>
      </c>
    </row>
    <row r="1322" spans="2:20">
      <c r="B1322" s="182"/>
      <c r="C1322" s="182"/>
      <c r="D1322" s="182"/>
      <c r="E1322" s="182"/>
      <c r="T1322" s="33">
        <v>141135</v>
      </c>
    </row>
    <row r="1323" spans="2:20">
      <c r="B1323" s="182"/>
      <c r="C1323" s="182"/>
      <c r="D1323" s="182"/>
      <c r="E1323" s="182"/>
      <c r="T1323" s="33">
        <v>141139</v>
      </c>
    </row>
    <row r="1324" spans="2:20">
      <c r="B1324" s="182"/>
      <c r="C1324" s="182"/>
      <c r="D1324" s="182"/>
      <c r="E1324" s="182"/>
      <c r="T1324" s="33">
        <v>151245</v>
      </c>
    </row>
    <row r="1325" spans="2:20">
      <c r="B1325" s="182"/>
      <c r="C1325" s="182"/>
      <c r="D1325" s="182"/>
      <c r="E1325" s="182"/>
      <c r="T1325" s="33">
        <v>151242</v>
      </c>
    </row>
    <row r="1326" spans="2:20">
      <c r="B1326" s="182"/>
      <c r="C1326" s="182"/>
      <c r="D1326" s="182"/>
      <c r="E1326" s="182"/>
      <c r="T1326" s="33">
        <v>161338</v>
      </c>
    </row>
    <row r="1327" spans="2:20">
      <c r="B1327" s="182"/>
      <c r="C1327" s="182"/>
      <c r="D1327" s="182"/>
      <c r="E1327" s="182"/>
      <c r="T1327" s="33">
        <v>161337</v>
      </c>
    </row>
    <row r="1328" spans="2:20">
      <c r="B1328" s="182"/>
      <c r="C1328" s="182"/>
      <c r="D1328" s="182"/>
      <c r="E1328" s="182"/>
      <c r="T1328" s="33">
        <v>131020</v>
      </c>
    </row>
    <row r="1329" spans="2:20">
      <c r="B1329" s="182"/>
      <c r="C1329" s="182"/>
      <c r="D1329" s="182"/>
      <c r="E1329" s="182"/>
      <c r="T1329" s="33">
        <v>141133</v>
      </c>
    </row>
    <row r="1330" spans="2:20">
      <c r="B1330" s="182"/>
      <c r="C1330" s="182"/>
      <c r="D1330" s="182"/>
      <c r="E1330" s="182"/>
      <c r="T1330" s="33">
        <v>151237</v>
      </c>
    </row>
    <row r="1331" spans="2:20">
      <c r="B1331" s="182"/>
      <c r="C1331" s="182"/>
      <c r="D1331" s="182"/>
      <c r="E1331" s="182"/>
      <c r="T1331" s="33">
        <v>161150</v>
      </c>
    </row>
    <row r="1332" spans="2:20">
      <c r="B1332" s="182"/>
      <c r="C1332" s="182"/>
      <c r="D1332" s="182"/>
      <c r="E1332" s="182"/>
      <c r="T1332" s="33">
        <v>161346</v>
      </c>
    </row>
    <row r="1333" spans="2:20">
      <c r="B1333" s="182"/>
      <c r="C1333" s="182"/>
      <c r="D1333" s="182"/>
      <c r="E1333" s="182"/>
      <c r="T1333" s="33">
        <v>141159</v>
      </c>
    </row>
    <row r="1334" spans="2:20">
      <c r="B1334" s="182"/>
      <c r="C1334" s="182"/>
      <c r="D1334" s="182"/>
      <c r="E1334" s="182"/>
      <c r="T1334" s="33">
        <v>161142</v>
      </c>
    </row>
    <row r="1335" spans="2:20">
      <c r="B1335" s="182"/>
      <c r="C1335" s="182"/>
      <c r="D1335" s="182"/>
      <c r="E1335" s="182"/>
      <c r="T1335" s="33">
        <v>161342</v>
      </c>
    </row>
    <row r="1336" spans="2:20">
      <c r="B1336" s="182"/>
      <c r="C1336" s="182"/>
      <c r="D1336" s="182"/>
      <c r="E1336" s="182"/>
      <c r="T1336" s="33">
        <v>131027</v>
      </c>
    </row>
    <row r="1337" spans="2:20">
      <c r="B1337" s="182"/>
      <c r="C1337" s="182"/>
      <c r="D1337" s="182"/>
      <c r="E1337" s="182"/>
      <c r="T1337" s="33">
        <v>151145</v>
      </c>
    </row>
    <row r="1338" spans="2:20">
      <c r="B1338" s="182"/>
      <c r="C1338" s="182"/>
      <c r="D1338" s="182"/>
      <c r="E1338" s="182"/>
      <c r="T1338" s="33">
        <v>141051</v>
      </c>
    </row>
    <row r="1339" spans="2:20">
      <c r="B1339" s="182"/>
      <c r="C1339" s="182"/>
      <c r="D1339" s="182"/>
      <c r="E1339" s="182"/>
      <c r="T1339" s="33">
        <v>131016</v>
      </c>
    </row>
    <row r="1340" spans="2:20">
      <c r="B1340" s="182"/>
      <c r="C1340" s="182"/>
      <c r="D1340" s="182"/>
      <c r="E1340" s="182"/>
      <c r="T1340" s="33">
        <v>131015</v>
      </c>
    </row>
    <row r="1341" spans="2:20">
      <c r="B1341" s="182"/>
      <c r="C1341" s="182"/>
      <c r="D1341" s="182"/>
      <c r="E1341" s="182"/>
      <c r="T1341" s="33">
        <v>131018</v>
      </c>
    </row>
    <row r="1342" spans="2:20">
      <c r="B1342" s="182"/>
      <c r="C1342" s="182"/>
      <c r="D1342" s="182"/>
      <c r="E1342" s="182"/>
      <c r="T1342" s="33">
        <v>120921</v>
      </c>
    </row>
    <row r="1343" spans="2:20">
      <c r="B1343" s="182"/>
      <c r="C1343" s="182"/>
      <c r="D1343" s="182"/>
      <c r="E1343" s="182"/>
      <c r="T1343" s="33">
        <v>131024</v>
      </c>
    </row>
    <row r="1344" spans="2:20">
      <c r="B1344" s="182"/>
      <c r="C1344" s="182"/>
      <c r="D1344" s="182"/>
      <c r="E1344" s="182"/>
      <c r="T1344" s="33">
        <v>160940</v>
      </c>
    </row>
    <row r="1345" spans="2:20">
      <c r="B1345" s="182"/>
      <c r="C1345" s="182"/>
      <c r="D1345" s="182"/>
      <c r="E1345" s="182"/>
      <c r="T1345" s="33">
        <v>161144</v>
      </c>
    </row>
    <row r="1346" spans="2:20">
      <c r="B1346" s="182"/>
      <c r="C1346" s="182"/>
      <c r="D1346" s="182"/>
      <c r="E1346" s="182"/>
      <c r="T1346" s="33">
        <v>161143</v>
      </c>
    </row>
    <row r="1347" spans="2:20">
      <c r="B1347" s="182"/>
      <c r="C1347" s="182"/>
      <c r="D1347" s="182"/>
      <c r="E1347" s="182"/>
      <c r="T1347" s="33">
        <v>171040</v>
      </c>
    </row>
    <row r="1348" spans="2:20">
      <c r="B1348" s="182"/>
      <c r="C1348" s="182"/>
      <c r="D1348" s="182"/>
      <c r="E1348" s="182"/>
      <c r="T1348" s="33">
        <v>140955</v>
      </c>
    </row>
    <row r="1349" spans="2:20">
      <c r="B1349" s="182"/>
      <c r="C1349" s="182"/>
      <c r="D1349" s="182"/>
      <c r="E1349" s="182"/>
      <c r="T1349" s="33">
        <v>151050</v>
      </c>
    </row>
    <row r="1350" spans="2:20">
      <c r="B1350" s="182"/>
      <c r="C1350" s="182"/>
      <c r="D1350" s="182"/>
      <c r="E1350" s="182"/>
      <c r="T1350" s="33">
        <v>151049</v>
      </c>
    </row>
    <row r="1351" spans="2:20">
      <c r="B1351" s="182"/>
      <c r="C1351" s="182"/>
      <c r="D1351" s="182"/>
      <c r="E1351" s="182"/>
      <c r="T1351" s="33">
        <v>161054</v>
      </c>
    </row>
    <row r="1352" spans="2:20">
      <c r="B1352" s="182"/>
      <c r="C1352" s="182"/>
      <c r="D1352" s="182"/>
      <c r="E1352" s="182"/>
      <c r="T1352" s="33">
        <v>130942</v>
      </c>
    </row>
    <row r="1353" spans="2:20">
      <c r="B1353" s="182"/>
      <c r="C1353" s="182"/>
      <c r="D1353" s="182"/>
      <c r="E1353" s="182"/>
      <c r="T1353" s="33">
        <v>141045</v>
      </c>
    </row>
    <row r="1354" spans="2:20">
      <c r="B1354" s="182"/>
      <c r="C1354" s="182"/>
      <c r="D1354" s="182"/>
      <c r="E1354" s="182"/>
      <c r="T1354" s="33">
        <v>141041</v>
      </c>
    </row>
    <row r="1355" spans="2:20">
      <c r="B1355" s="182"/>
      <c r="C1355" s="182"/>
      <c r="D1355" s="182"/>
      <c r="E1355" s="182"/>
      <c r="T1355" s="33">
        <v>140941</v>
      </c>
    </row>
    <row r="1356" spans="2:20">
      <c r="B1356" s="182"/>
      <c r="C1356" s="182"/>
      <c r="D1356" s="182"/>
      <c r="E1356" s="182"/>
      <c r="T1356" s="33">
        <v>120826</v>
      </c>
    </row>
    <row r="1357" spans="2:20">
      <c r="B1357" s="182"/>
      <c r="C1357" s="182"/>
      <c r="D1357" s="182"/>
      <c r="E1357" s="182"/>
      <c r="T1357" s="33">
        <v>140936</v>
      </c>
    </row>
    <row r="1358" spans="2:20">
      <c r="B1358" s="182"/>
      <c r="C1358" s="182"/>
      <c r="D1358" s="182"/>
      <c r="E1358" s="182"/>
      <c r="T1358" s="33">
        <v>141038</v>
      </c>
    </row>
    <row r="1359" spans="2:20">
      <c r="B1359" s="182"/>
      <c r="C1359" s="182"/>
      <c r="D1359" s="182"/>
      <c r="E1359" s="182"/>
      <c r="T1359" s="33">
        <v>130932</v>
      </c>
    </row>
    <row r="1360" spans="2:20">
      <c r="B1360" s="182"/>
      <c r="C1360" s="182"/>
      <c r="D1360" s="182"/>
      <c r="E1360" s="182"/>
      <c r="T1360" s="33">
        <v>140847</v>
      </c>
    </row>
    <row r="1361" spans="2:20">
      <c r="B1361" s="182"/>
      <c r="C1361" s="182"/>
      <c r="D1361" s="182"/>
      <c r="E1361" s="182"/>
      <c r="T1361" s="33">
        <v>130940</v>
      </c>
    </row>
    <row r="1362" spans="2:20">
      <c r="B1362" s="182"/>
      <c r="C1362" s="182"/>
      <c r="D1362" s="182"/>
      <c r="E1362" s="182"/>
      <c r="T1362" s="33">
        <v>130939</v>
      </c>
    </row>
    <row r="1363" spans="2:20">
      <c r="B1363" s="182"/>
      <c r="C1363" s="182"/>
      <c r="D1363" s="182"/>
      <c r="E1363" s="182"/>
      <c r="T1363" s="33">
        <v>130840</v>
      </c>
    </row>
    <row r="1364" spans="2:20">
      <c r="B1364" s="182"/>
      <c r="C1364" s="182"/>
      <c r="D1364" s="182"/>
      <c r="E1364" s="182"/>
      <c r="T1364" s="33">
        <v>130941</v>
      </c>
    </row>
    <row r="1365" spans="2:20">
      <c r="B1365" s="182"/>
      <c r="C1365" s="182"/>
      <c r="D1365" s="182"/>
      <c r="E1365" s="182"/>
      <c r="T1365" s="33">
        <v>140846</v>
      </c>
    </row>
    <row r="1366" spans="2:20">
      <c r="B1366" s="182"/>
      <c r="C1366" s="182"/>
      <c r="D1366" s="182"/>
      <c r="E1366" s="182"/>
      <c r="T1366" s="33">
        <v>150955</v>
      </c>
    </row>
    <row r="1367" spans="2:20">
      <c r="B1367" s="182"/>
      <c r="C1367" s="182"/>
      <c r="D1367" s="182"/>
      <c r="E1367" s="182"/>
      <c r="T1367" s="33">
        <v>171045</v>
      </c>
    </row>
    <row r="1368" spans="2:20">
      <c r="B1368" s="182"/>
      <c r="C1368" s="182"/>
      <c r="D1368" s="182"/>
      <c r="E1368" s="182"/>
      <c r="T1368" s="33">
        <v>171128</v>
      </c>
    </row>
    <row r="1369" spans="2:20">
      <c r="B1369" s="182"/>
      <c r="C1369" s="182"/>
      <c r="D1369" s="182"/>
      <c r="E1369" s="182"/>
      <c r="T1369" s="33">
        <v>171125</v>
      </c>
    </row>
    <row r="1370" spans="2:20">
      <c r="B1370" s="182"/>
      <c r="C1370" s="182"/>
      <c r="D1370" s="182"/>
      <c r="E1370" s="182"/>
      <c r="T1370" s="33">
        <v>171036</v>
      </c>
    </row>
    <row r="1371" spans="2:20">
      <c r="B1371" s="182"/>
      <c r="C1371" s="182"/>
      <c r="D1371" s="182"/>
      <c r="E1371" s="182"/>
      <c r="T1371" s="33">
        <v>170942</v>
      </c>
    </row>
    <row r="1372" spans="2:20">
      <c r="B1372" s="182"/>
      <c r="C1372" s="182"/>
      <c r="D1372" s="182"/>
      <c r="E1372" s="182"/>
      <c r="T1372" s="33">
        <v>180939</v>
      </c>
    </row>
    <row r="1373" spans="2:20">
      <c r="B1373" s="182"/>
      <c r="C1373" s="182"/>
      <c r="D1373" s="182"/>
      <c r="E1373" s="182"/>
      <c r="T1373" s="33">
        <v>191034</v>
      </c>
    </row>
    <row r="1374" spans="2:20">
      <c r="B1374" s="182"/>
      <c r="C1374" s="182"/>
      <c r="D1374" s="182"/>
      <c r="E1374" s="182"/>
      <c r="T1374" s="33">
        <v>141113</v>
      </c>
    </row>
    <row r="1375" spans="2:20">
      <c r="B1375" s="182"/>
      <c r="C1375" s="182"/>
      <c r="D1375" s="182"/>
      <c r="E1375" s="182"/>
      <c r="T1375" s="33">
        <v>160928</v>
      </c>
    </row>
    <row r="1376" spans="2:20">
      <c r="B1376" s="182"/>
      <c r="C1376" s="182"/>
      <c r="D1376" s="182"/>
      <c r="E1376" s="182"/>
      <c r="T1376" s="33">
        <v>161326</v>
      </c>
    </row>
    <row r="1377" spans="2:20">
      <c r="B1377" s="182"/>
      <c r="C1377" s="182"/>
      <c r="D1377" s="182"/>
      <c r="E1377" s="182"/>
      <c r="T1377" s="33">
        <v>171047</v>
      </c>
    </row>
    <row r="1378" spans="2:20">
      <c r="B1378" s="182"/>
      <c r="C1378" s="182"/>
      <c r="D1378" s="182"/>
      <c r="E1378" s="182"/>
      <c r="T1378" s="33">
        <v>171129</v>
      </c>
    </row>
    <row r="1379" spans="2:20">
      <c r="B1379" s="182"/>
      <c r="C1379" s="182"/>
      <c r="D1379" s="182"/>
      <c r="E1379" s="182"/>
      <c r="T1379" s="33">
        <v>141036</v>
      </c>
    </row>
    <row r="1380" spans="2:20">
      <c r="B1380" s="182"/>
      <c r="C1380" s="182"/>
      <c r="D1380" s="182"/>
      <c r="E1380" s="182"/>
      <c r="T1380" s="33">
        <v>160945</v>
      </c>
    </row>
    <row r="1381" spans="2:20">
      <c r="B1381" s="182"/>
      <c r="C1381" s="182"/>
      <c r="D1381" s="182"/>
      <c r="E1381" s="182"/>
      <c r="T1381" s="33">
        <v>161139</v>
      </c>
    </row>
    <row r="1382" spans="2:20">
      <c r="B1382" s="182"/>
      <c r="C1382" s="182"/>
      <c r="D1382" s="182"/>
      <c r="E1382" s="182"/>
      <c r="T1382" s="33">
        <v>160950</v>
      </c>
    </row>
    <row r="1383" spans="2:20">
      <c r="B1383" s="182"/>
      <c r="C1383" s="182"/>
      <c r="D1383" s="182"/>
      <c r="E1383" s="182"/>
      <c r="T1383" s="33">
        <v>161126</v>
      </c>
    </row>
    <row r="1384" spans="2:20">
      <c r="B1384" s="182"/>
      <c r="C1384" s="182"/>
      <c r="D1384" s="182"/>
      <c r="E1384" s="182"/>
      <c r="T1384" s="33">
        <v>161133</v>
      </c>
    </row>
    <row r="1385" spans="2:20">
      <c r="B1385" s="182"/>
      <c r="C1385" s="182"/>
      <c r="D1385" s="182"/>
      <c r="E1385" s="182"/>
      <c r="T1385" s="33">
        <v>160948</v>
      </c>
    </row>
    <row r="1386" spans="2:20">
      <c r="B1386" s="182"/>
      <c r="C1386" s="182"/>
      <c r="D1386" s="182"/>
      <c r="E1386" s="182"/>
      <c r="T1386" s="33">
        <v>150948</v>
      </c>
    </row>
    <row r="1387" spans="2:20">
      <c r="B1387" s="182"/>
      <c r="C1387" s="182"/>
      <c r="D1387" s="182"/>
      <c r="E1387" s="182"/>
      <c r="T1387" s="33">
        <v>140837</v>
      </c>
    </row>
    <row r="1388" spans="2:20">
      <c r="B1388" s="182"/>
      <c r="C1388" s="182"/>
      <c r="D1388" s="182"/>
      <c r="E1388" s="182"/>
      <c r="T1388" s="33">
        <v>150942</v>
      </c>
    </row>
    <row r="1389" spans="2:20">
      <c r="B1389" s="182"/>
      <c r="C1389" s="182"/>
      <c r="D1389" s="182"/>
      <c r="E1389" s="182"/>
      <c r="T1389" s="33">
        <v>160946</v>
      </c>
    </row>
    <row r="1390" spans="2:20">
      <c r="B1390" s="182"/>
      <c r="C1390" s="182"/>
      <c r="D1390" s="182"/>
      <c r="E1390" s="182"/>
      <c r="T1390" s="33">
        <v>160953</v>
      </c>
    </row>
    <row r="1391" spans="2:20">
      <c r="B1391" s="182"/>
      <c r="C1391" s="182"/>
      <c r="D1391" s="182"/>
      <c r="E1391" s="182"/>
      <c r="T1391" s="33">
        <v>150850</v>
      </c>
    </row>
    <row r="1392" spans="2:20">
      <c r="B1392" s="182"/>
      <c r="C1392" s="182"/>
      <c r="D1392" s="182"/>
      <c r="E1392" s="182"/>
      <c r="T1392" s="33">
        <v>150751</v>
      </c>
    </row>
    <row r="1393" spans="2:20">
      <c r="B1393" s="182"/>
      <c r="C1393" s="182"/>
      <c r="D1393" s="182"/>
      <c r="E1393" s="182"/>
      <c r="T1393" s="33">
        <v>120824</v>
      </c>
    </row>
    <row r="1394" spans="2:20">
      <c r="B1394" s="182"/>
      <c r="C1394" s="182"/>
      <c r="D1394" s="182"/>
      <c r="E1394" s="182"/>
      <c r="T1394" s="33">
        <v>120727</v>
      </c>
    </row>
    <row r="1395" spans="2:20">
      <c r="B1395" s="182"/>
      <c r="C1395" s="182"/>
      <c r="D1395" s="182"/>
      <c r="E1395" s="182"/>
      <c r="T1395" s="33">
        <v>130755</v>
      </c>
    </row>
    <row r="1396" spans="2:20">
      <c r="B1396" s="182"/>
      <c r="C1396" s="182"/>
      <c r="D1396" s="182"/>
      <c r="E1396" s="182"/>
      <c r="T1396" s="33">
        <v>140754</v>
      </c>
    </row>
    <row r="1397" spans="2:20">
      <c r="B1397" s="182"/>
      <c r="C1397" s="182"/>
      <c r="D1397" s="182"/>
      <c r="E1397" s="182"/>
      <c r="T1397" s="33">
        <v>140848</v>
      </c>
    </row>
    <row r="1398" spans="2:20">
      <c r="B1398" s="182"/>
      <c r="C1398" s="182"/>
      <c r="D1398" s="182"/>
      <c r="E1398" s="182"/>
      <c r="T1398" s="33">
        <v>130850</v>
      </c>
    </row>
    <row r="1399" spans="2:20">
      <c r="B1399" s="182"/>
      <c r="C1399" s="182"/>
      <c r="D1399" s="182"/>
      <c r="E1399" s="182"/>
      <c r="T1399" s="33">
        <v>130758</v>
      </c>
    </row>
    <row r="1400" spans="2:20">
      <c r="B1400" s="182"/>
      <c r="C1400" s="182"/>
      <c r="D1400" s="182"/>
      <c r="E1400" s="182"/>
      <c r="T1400" s="33">
        <v>140852</v>
      </c>
    </row>
    <row r="1401" spans="2:20">
      <c r="B1401" s="182"/>
      <c r="C1401" s="182"/>
      <c r="D1401" s="182"/>
      <c r="E1401" s="182"/>
      <c r="T1401" s="33">
        <v>120642</v>
      </c>
    </row>
    <row r="1402" spans="2:20">
      <c r="B1402" s="182"/>
      <c r="C1402" s="182"/>
      <c r="D1402" s="182"/>
      <c r="E1402" s="182"/>
      <c r="T1402" s="33">
        <v>130746</v>
      </c>
    </row>
    <row r="1403" spans="2:20">
      <c r="B1403" s="182"/>
      <c r="C1403" s="182"/>
      <c r="D1403" s="182"/>
      <c r="E1403" s="182"/>
      <c r="T1403" s="33">
        <v>140721</v>
      </c>
    </row>
    <row r="1404" spans="2:20">
      <c r="B1404" s="182"/>
      <c r="C1404" s="182"/>
      <c r="D1404" s="182"/>
      <c r="E1404" s="182"/>
      <c r="T1404" s="33">
        <v>150732</v>
      </c>
    </row>
    <row r="1405" spans="2:20">
      <c r="B1405" s="182"/>
      <c r="C1405" s="182"/>
      <c r="D1405" s="182"/>
      <c r="E1405" s="182"/>
      <c r="T1405" s="33">
        <v>160730</v>
      </c>
    </row>
    <row r="1406" spans="2:20">
      <c r="B1406" s="182"/>
      <c r="C1406" s="182"/>
      <c r="D1406" s="182"/>
      <c r="E1406" s="182"/>
      <c r="T1406" s="33">
        <v>160737</v>
      </c>
    </row>
    <row r="1407" spans="2:20">
      <c r="B1407" s="182"/>
      <c r="C1407" s="182"/>
      <c r="D1407" s="182"/>
      <c r="E1407" s="182"/>
      <c r="T1407" s="33">
        <v>140755</v>
      </c>
    </row>
    <row r="1408" spans="2:20">
      <c r="B1408" s="182"/>
      <c r="C1408" s="182"/>
      <c r="D1408" s="182"/>
      <c r="E1408" s="182"/>
      <c r="T1408" s="33">
        <v>150743</v>
      </c>
    </row>
    <row r="1409" spans="2:20">
      <c r="B1409" s="182"/>
      <c r="C1409" s="182"/>
      <c r="D1409" s="182"/>
      <c r="E1409" s="182"/>
      <c r="T1409" s="33">
        <v>160742</v>
      </c>
    </row>
    <row r="1410" spans="2:20">
      <c r="B1410" s="182"/>
      <c r="C1410" s="182"/>
      <c r="D1410" s="182"/>
      <c r="E1410" s="182"/>
      <c r="T1410" s="33">
        <v>130725</v>
      </c>
    </row>
    <row r="1411" spans="2:20">
      <c r="B1411" s="182"/>
      <c r="C1411" s="182"/>
      <c r="D1411" s="182"/>
      <c r="E1411" s="182"/>
      <c r="T1411" s="33">
        <v>130624</v>
      </c>
    </row>
    <row r="1412" spans="2:20">
      <c r="B1412" s="182"/>
      <c r="C1412" s="182"/>
      <c r="D1412" s="182"/>
      <c r="E1412" s="182"/>
      <c r="T1412" s="33">
        <v>140826</v>
      </c>
    </row>
    <row r="1413" spans="2:20">
      <c r="B1413" s="182"/>
      <c r="C1413" s="182"/>
      <c r="D1413" s="182"/>
      <c r="E1413" s="182"/>
      <c r="T1413" s="33">
        <v>140740</v>
      </c>
    </row>
    <row r="1414" spans="2:20">
      <c r="B1414" s="182"/>
      <c r="C1414" s="182"/>
      <c r="D1414" s="182"/>
      <c r="E1414" s="182"/>
      <c r="T1414" s="33">
        <v>150643</v>
      </c>
    </row>
    <row r="1415" spans="2:20">
      <c r="B1415" s="182"/>
      <c r="C1415" s="182"/>
      <c r="D1415" s="182"/>
      <c r="E1415" s="182"/>
      <c r="T1415" s="33">
        <v>141110</v>
      </c>
    </row>
    <row r="1416" spans="2:20">
      <c r="B1416" s="182"/>
      <c r="C1416" s="182"/>
      <c r="D1416" s="182"/>
      <c r="E1416" s="182"/>
      <c r="T1416" s="33">
        <v>130613</v>
      </c>
    </row>
    <row r="1417" spans="2:20">
      <c r="B1417" s="182"/>
      <c r="C1417" s="182"/>
      <c r="D1417" s="182"/>
      <c r="E1417" s="182"/>
      <c r="T1417" s="33">
        <v>140925</v>
      </c>
    </row>
    <row r="1418" spans="2:20">
      <c r="B1418" s="182"/>
      <c r="C1418" s="182"/>
      <c r="D1418" s="182"/>
      <c r="E1418" s="182"/>
      <c r="T1418" s="33">
        <v>150719</v>
      </c>
    </row>
    <row r="1419" spans="2:20">
      <c r="B1419" s="182"/>
      <c r="C1419" s="182"/>
      <c r="D1419" s="182"/>
      <c r="E1419" s="182"/>
      <c r="T1419" s="33">
        <v>110510</v>
      </c>
    </row>
    <row r="1420" spans="2:20">
      <c r="B1420" s="182"/>
      <c r="C1420" s="182"/>
      <c r="D1420" s="182"/>
      <c r="E1420" s="182"/>
      <c r="T1420" s="33">
        <v>110617</v>
      </c>
    </row>
    <row r="1421" spans="2:20">
      <c r="B1421" s="182"/>
      <c r="C1421" s="182"/>
      <c r="D1421" s="182"/>
      <c r="E1421" s="182"/>
      <c r="T1421" s="33">
        <v>120715</v>
      </c>
    </row>
    <row r="1422" spans="2:20">
      <c r="B1422" s="182"/>
      <c r="C1422" s="182"/>
      <c r="D1422" s="182"/>
      <c r="E1422" s="182"/>
      <c r="T1422" s="33">
        <v>130822</v>
      </c>
    </row>
    <row r="1423" spans="2:20">
      <c r="B1423" s="182"/>
      <c r="C1423" s="182"/>
      <c r="D1423" s="182"/>
      <c r="E1423" s="182"/>
      <c r="T1423" s="33">
        <v>130922</v>
      </c>
    </row>
    <row r="1424" spans="2:20">
      <c r="B1424" s="182"/>
      <c r="C1424" s="182"/>
      <c r="D1424" s="182"/>
      <c r="E1424" s="182"/>
      <c r="T1424" s="33">
        <v>140935</v>
      </c>
    </row>
    <row r="1425" spans="2:20">
      <c r="B1425" s="182"/>
      <c r="C1425" s="182"/>
      <c r="D1425" s="182"/>
      <c r="E1425" s="182"/>
      <c r="T1425" s="33">
        <v>141031</v>
      </c>
    </row>
    <row r="1426" spans="2:20">
      <c r="B1426" s="182"/>
      <c r="C1426" s="182"/>
      <c r="D1426" s="182"/>
      <c r="E1426" s="182"/>
      <c r="T1426" s="33">
        <v>181425</v>
      </c>
    </row>
    <row r="1427" spans="2:20">
      <c r="B1427" s="182"/>
      <c r="C1427" s="182"/>
      <c r="D1427" s="182"/>
      <c r="E1427" s="182"/>
      <c r="T1427" s="33">
        <v>181334</v>
      </c>
    </row>
    <row r="1428" spans="2:20">
      <c r="B1428" s="182"/>
      <c r="C1428" s="182"/>
      <c r="D1428" s="182"/>
      <c r="E1428" s="182"/>
      <c r="T1428" s="33">
        <v>191338</v>
      </c>
    </row>
    <row r="1429" spans="2:20">
      <c r="B1429" s="182"/>
      <c r="C1429" s="182"/>
      <c r="D1429" s="182"/>
      <c r="E1429" s="182"/>
      <c r="T1429" s="33">
        <v>181421</v>
      </c>
    </row>
    <row r="1430" spans="2:20">
      <c r="B1430" s="182"/>
      <c r="C1430" s="182"/>
      <c r="D1430" s="182"/>
      <c r="E1430" s="182"/>
      <c r="T1430" s="33">
        <v>181326</v>
      </c>
    </row>
    <row r="1431" spans="2:20">
      <c r="B1431" s="182"/>
      <c r="C1431" s="182"/>
      <c r="D1431" s="182"/>
      <c r="E1431" s="182"/>
      <c r="T1431" s="33">
        <v>191012</v>
      </c>
    </row>
    <row r="1432" spans="2:20">
      <c r="B1432" s="182"/>
      <c r="C1432" s="182"/>
      <c r="D1432" s="182"/>
      <c r="E1432" s="182"/>
      <c r="T1432" s="33">
        <v>191322</v>
      </c>
    </row>
    <row r="1433" spans="2:20">
      <c r="B1433" s="182"/>
      <c r="C1433" s="182"/>
      <c r="D1433" s="182"/>
      <c r="E1433" s="182"/>
      <c r="T1433" s="33">
        <v>191228</v>
      </c>
    </row>
    <row r="1434" spans="2:20">
      <c r="B1434" s="182"/>
      <c r="C1434" s="182"/>
      <c r="D1434" s="182"/>
      <c r="E1434" s="182"/>
      <c r="T1434" s="33">
        <v>191235</v>
      </c>
    </row>
    <row r="1435" spans="2:20">
      <c r="B1435" s="182"/>
      <c r="C1435" s="182"/>
      <c r="D1435" s="182"/>
      <c r="E1435" s="182"/>
      <c r="T1435" s="33">
        <v>191320</v>
      </c>
    </row>
    <row r="1436" spans="2:20">
      <c r="B1436" s="182"/>
      <c r="C1436" s="182"/>
      <c r="D1436" s="182"/>
      <c r="E1436" s="182"/>
      <c r="T1436" s="33">
        <v>191436</v>
      </c>
    </row>
    <row r="1437" spans="2:20">
      <c r="B1437" s="182"/>
      <c r="C1437" s="182"/>
      <c r="D1437" s="182"/>
      <c r="E1437" s="182"/>
      <c r="T1437" s="33">
        <v>191431</v>
      </c>
    </row>
    <row r="1438" spans="2:20">
      <c r="B1438" s="182"/>
      <c r="C1438" s="182"/>
      <c r="D1438" s="182"/>
      <c r="E1438" s="182"/>
      <c r="T1438" s="33">
        <v>191430</v>
      </c>
    </row>
    <row r="1439" spans="2:20">
      <c r="B1439" s="182"/>
      <c r="C1439" s="182"/>
      <c r="D1439" s="182"/>
      <c r="E1439" s="182"/>
      <c r="T1439" s="33">
        <v>181433</v>
      </c>
    </row>
    <row r="1440" spans="2:20">
      <c r="B1440" s="182"/>
      <c r="C1440" s="182"/>
      <c r="D1440" s="182"/>
      <c r="E1440" s="182"/>
      <c r="T1440" s="33">
        <v>181441</v>
      </c>
    </row>
    <row r="1441" spans="2:20">
      <c r="B1441" s="182"/>
      <c r="C1441" s="182"/>
      <c r="D1441" s="182"/>
      <c r="E1441" s="182"/>
      <c r="T1441" s="33">
        <v>181336</v>
      </c>
    </row>
    <row r="1442" spans="2:20">
      <c r="B1442" s="182"/>
      <c r="C1442" s="182"/>
      <c r="D1442" s="182"/>
      <c r="E1442" s="182"/>
      <c r="T1442" s="33">
        <v>181238</v>
      </c>
    </row>
    <row r="1443" spans="2:20">
      <c r="B1443" s="182"/>
      <c r="C1443" s="182"/>
      <c r="D1443" s="182"/>
      <c r="E1443" s="182"/>
      <c r="T1443" s="33">
        <v>181230</v>
      </c>
    </row>
    <row r="1444" spans="2:20">
      <c r="B1444" s="182"/>
      <c r="C1444" s="182"/>
      <c r="D1444" s="182"/>
      <c r="E1444" s="182"/>
      <c r="T1444" s="33">
        <v>191333</v>
      </c>
    </row>
    <row r="1445" spans="2:20">
      <c r="B1445" s="182"/>
      <c r="C1445" s="182"/>
      <c r="D1445" s="182"/>
      <c r="E1445" s="182"/>
      <c r="T1445" s="33">
        <v>181321</v>
      </c>
    </row>
    <row r="1446" spans="2:20">
      <c r="B1446" s="182"/>
      <c r="C1446" s="182"/>
      <c r="D1446" s="182"/>
      <c r="E1446" s="182"/>
      <c r="T1446" s="33">
        <v>181314</v>
      </c>
    </row>
    <row r="1447" spans="2:20">
      <c r="B1447" s="182"/>
      <c r="C1447" s="182"/>
      <c r="D1447" s="182"/>
      <c r="E1447" s="182"/>
      <c r="T1447" s="33">
        <v>181320</v>
      </c>
    </row>
    <row r="1448" spans="2:20">
      <c r="B1448" s="182"/>
      <c r="C1448" s="182"/>
      <c r="D1448" s="182"/>
      <c r="E1448" s="182"/>
      <c r="T1448" s="33">
        <v>181229</v>
      </c>
    </row>
    <row r="1449" spans="2:20">
      <c r="B1449" s="182"/>
      <c r="C1449" s="182"/>
      <c r="D1449" s="182"/>
      <c r="E1449" s="182"/>
      <c r="T1449" s="33">
        <v>181235</v>
      </c>
    </row>
    <row r="1450" spans="2:20">
      <c r="B1450" s="182"/>
      <c r="C1450" s="182"/>
      <c r="D1450" s="182"/>
      <c r="E1450" s="182"/>
      <c r="T1450" s="33">
        <v>181137</v>
      </c>
    </row>
    <row r="1451" spans="2:20">
      <c r="B1451" s="182"/>
      <c r="C1451" s="182"/>
      <c r="D1451" s="182"/>
      <c r="E1451" s="182"/>
      <c r="T1451" s="33">
        <v>131012</v>
      </c>
    </row>
    <row r="1452" spans="2:20">
      <c r="B1452" s="182"/>
      <c r="C1452" s="182"/>
      <c r="D1452" s="182"/>
      <c r="E1452" s="182"/>
      <c r="T1452" s="33">
        <v>141012</v>
      </c>
    </row>
    <row r="1453" spans="2:20">
      <c r="B1453" s="182"/>
      <c r="C1453" s="182"/>
      <c r="D1453" s="182"/>
      <c r="E1453" s="182"/>
      <c r="T1453" s="33">
        <v>160836</v>
      </c>
    </row>
    <row r="1454" spans="2:20">
      <c r="B1454" s="182"/>
      <c r="C1454" s="182"/>
      <c r="D1454" s="182"/>
      <c r="E1454" s="182"/>
      <c r="T1454" s="33">
        <v>161332</v>
      </c>
    </row>
    <row r="1455" spans="2:20">
      <c r="B1455" s="182"/>
      <c r="C1455" s="182"/>
      <c r="D1455" s="182"/>
      <c r="E1455" s="182"/>
      <c r="T1455" s="33">
        <v>161429</v>
      </c>
    </row>
    <row r="1456" spans="2:20">
      <c r="B1456" s="182"/>
      <c r="C1456" s="182"/>
      <c r="D1456" s="182"/>
      <c r="E1456" s="182"/>
      <c r="T1456" s="33">
        <v>171436</v>
      </c>
    </row>
    <row r="1457" spans="2:20">
      <c r="B1457" s="182"/>
      <c r="C1457" s="182"/>
      <c r="D1457" s="182"/>
      <c r="E1457" s="182"/>
      <c r="T1457" s="33">
        <v>171347</v>
      </c>
    </row>
    <row r="1458" spans="2:20">
      <c r="B1458" s="182"/>
      <c r="C1458" s="182"/>
      <c r="D1458" s="182"/>
      <c r="E1458" s="182"/>
      <c r="T1458" s="33">
        <v>181450</v>
      </c>
    </row>
    <row r="1459" spans="2:20">
      <c r="B1459" s="182"/>
      <c r="C1459" s="182"/>
      <c r="D1459" s="182"/>
      <c r="E1459" s="182"/>
      <c r="T1459" s="33">
        <v>161439</v>
      </c>
    </row>
    <row r="1460" spans="2:20">
      <c r="B1460" s="182"/>
      <c r="C1460" s="182"/>
      <c r="D1460" s="182"/>
      <c r="E1460" s="182"/>
      <c r="T1460" s="33">
        <v>171147</v>
      </c>
    </row>
    <row r="1461" spans="2:20">
      <c r="B1461" s="182"/>
      <c r="C1461" s="182"/>
      <c r="D1461" s="182"/>
      <c r="E1461" s="182"/>
      <c r="T1461" s="33">
        <v>181239</v>
      </c>
    </row>
    <row r="1462" spans="2:20">
      <c r="B1462" s="182"/>
      <c r="C1462" s="182"/>
      <c r="D1462" s="182"/>
      <c r="E1462" s="182"/>
      <c r="T1462" s="33">
        <v>181140</v>
      </c>
    </row>
    <row r="1463" spans="2:20">
      <c r="B1463" s="182"/>
      <c r="C1463" s="182"/>
      <c r="D1463" s="182"/>
      <c r="E1463" s="182"/>
      <c r="T1463" s="33">
        <v>171230</v>
      </c>
    </row>
    <row r="1464" spans="2:20">
      <c r="B1464" s="182"/>
      <c r="C1464" s="182"/>
      <c r="D1464" s="182"/>
      <c r="E1464" s="182"/>
      <c r="T1464" s="33">
        <v>171336</v>
      </c>
    </row>
    <row r="1465" spans="2:20">
      <c r="B1465" s="182"/>
      <c r="C1465" s="182"/>
      <c r="D1465" s="182"/>
      <c r="E1465" s="182"/>
      <c r="T1465" s="33">
        <v>161235</v>
      </c>
    </row>
    <row r="1466" spans="2:20">
      <c r="B1466" s="182"/>
      <c r="C1466" s="182"/>
      <c r="D1466" s="182"/>
      <c r="E1466" s="182"/>
      <c r="T1466" s="33">
        <v>161341</v>
      </c>
    </row>
    <row r="1467" spans="2:20">
      <c r="B1467" s="182"/>
      <c r="C1467" s="182"/>
      <c r="D1467" s="182"/>
      <c r="E1467" s="182"/>
      <c r="T1467" s="33">
        <v>171137</v>
      </c>
    </row>
    <row r="1468" spans="2:20">
      <c r="B1468" s="182"/>
      <c r="C1468" s="182"/>
      <c r="D1468" s="182"/>
      <c r="E1468" s="182"/>
      <c r="T1468" s="33">
        <v>161432</v>
      </c>
    </row>
    <row r="1469" spans="2:20">
      <c r="B1469" s="182"/>
      <c r="C1469" s="182"/>
      <c r="D1469" s="182"/>
      <c r="E1469" s="182"/>
      <c r="T1469" s="33">
        <v>171330</v>
      </c>
    </row>
    <row r="1470" spans="2:20">
      <c r="B1470" s="182"/>
      <c r="C1470" s="182"/>
      <c r="D1470" s="182"/>
      <c r="E1470" s="182"/>
      <c r="T1470" s="33">
        <v>131109</v>
      </c>
    </row>
    <row r="1471" spans="2:20">
      <c r="B1471" s="182"/>
      <c r="C1471" s="182"/>
      <c r="D1471" s="182"/>
      <c r="E1471" s="182"/>
      <c r="T1471" s="33">
        <v>151319</v>
      </c>
    </row>
    <row r="1472" spans="2:20">
      <c r="B1472" s="182"/>
      <c r="C1472" s="182"/>
      <c r="D1472" s="182"/>
      <c r="E1472" s="182"/>
      <c r="T1472" s="33">
        <v>151318</v>
      </c>
    </row>
    <row r="1473" spans="2:20">
      <c r="B1473" s="182"/>
      <c r="C1473" s="182"/>
      <c r="D1473" s="182"/>
      <c r="E1473" s="182"/>
      <c r="T1473" s="33">
        <v>141220</v>
      </c>
    </row>
    <row r="1474" spans="2:20">
      <c r="B1474" s="182"/>
      <c r="C1474" s="182"/>
      <c r="D1474" s="182"/>
      <c r="E1474" s="182"/>
      <c r="T1474" s="33">
        <v>151327</v>
      </c>
    </row>
    <row r="1475" spans="2:20">
      <c r="B1475" s="182"/>
      <c r="C1475" s="182"/>
      <c r="D1475" s="182"/>
      <c r="E1475" s="182"/>
      <c r="T1475" s="33">
        <v>161219</v>
      </c>
    </row>
    <row r="1476" spans="2:20">
      <c r="B1476" s="182"/>
      <c r="C1476" s="182"/>
      <c r="D1476" s="182"/>
      <c r="E1476" s="182"/>
      <c r="T1476" s="33">
        <v>161422</v>
      </c>
    </row>
    <row r="1477" spans="2:20">
      <c r="B1477" s="182"/>
      <c r="C1477" s="182"/>
      <c r="D1477" s="182"/>
      <c r="E1477" s="182"/>
      <c r="T1477" s="33">
        <v>131405</v>
      </c>
    </row>
    <row r="1478" spans="2:20">
      <c r="B1478" s="182"/>
      <c r="C1478" s="182"/>
      <c r="D1478" s="182"/>
      <c r="E1478" s="182"/>
      <c r="T1478" s="33">
        <v>131107</v>
      </c>
    </row>
    <row r="1479" spans="2:20">
      <c r="B1479" s="182"/>
      <c r="C1479" s="182"/>
      <c r="D1479" s="182"/>
      <c r="E1479" s="182"/>
      <c r="T1479" s="33">
        <v>121404</v>
      </c>
    </row>
    <row r="1480" spans="2:20">
      <c r="B1480" s="182"/>
      <c r="C1480" s="182"/>
      <c r="D1480" s="182"/>
      <c r="E1480" s="182"/>
      <c r="T1480" s="33">
        <v>141311</v>
      </c>
    </row>
    <row r="1481" spans="2:20">
      <c r="B1481" s="182"/>
      <c r="C1481" s="182"/>
      <c r="D1481" s="182"/>
      <c r="E1481" s="182"/>
      <c r="T1481" s="33">
        <v>161317</v>
      </c>
    </row>
    <row r="1482" spans="2:20">
      <c r="B1482" s="182"/>
      <c r="C1482" s="182"/>
      <c r="D1482" s="182"/>
      <c r="E1482" s="182"/>
      <c r="T1482" s="33">
        <v>121107</v>
      </c>
    </row>
    <row r="1483" spans="2:20">
      <c r="B1483" s="182"/>
      <c r="C1483" s="182"/>
      <c r="D1483" s="182"/>
      <c r="E1483" s="182"/>
      <c r="T1483" s="33">
        <v>121008</v>
      </c>
    </row>
    <row r="1484" spans="2:20">
      <c r="B1484" s="182"/>
      <c r="C1484" s="182"/>
      <c r="D1484" s="182"/>
      <c r="E1484" s="182"/>
      <c r="T1484" s="33">
        <v>121010</v>
      </c>
    </row>
    <row r="1485" spans="2:20">
      <c r="B1485" s="182"/>
      <c r="C1485" s="182"/>
      <c r="D1485" s="182"/>
      <c r="E1485" s="182"/>
      <c r="T1485" s="33">
        <v>121209</v>
      </c>
    </row>
    <row r="1486" spans="2:20">
      <c r="B1486" s="182"/>
      <c r="C1486" s="182"/>
      <c r="D1486" s="182"/>
      <c r="E1486" s="182"/>
      <c r="T1486" s="33">
        <v>131404</v>
      </c>
    </row>
    <row r="1487" spans="2:20">
      <c r="B1487" s="182"/>
      <c r="C1487" s="182"/>
      <c r="D1487" s="182"/>
      <c r="E1487" s="182"/>
      <c r="T1487" s="33">
        <v>121206</v>
      </c>
    </row>
    <row r="1488" spans="2:20">
      <c r="B1488" s="182"/>
      <c r="C1488" s="182"/>
      <c r="D1488" s="182"/>
      <c r="E1488" s="182"/>
      <c r="T1488" s="33">
        <v>120911</v>
      </c>
    </row>
    <row r="1489" spans="2:20">
      <c r="B1489" s="182"/>
      <c r="C1489" s="182"/>
      <c r="D1489" s="182"/>
      <c r="E1489" s="182"/>
      <c r="T1489" s="33">
        <v>120912</v>
      </c>
    </row>
    <row r="1490" spans="2:20">
      <c r="B1490" s="182"/>
      <c r="C1490" s="182"/>
      <c r="D1490" s="182"/>
      <c r="E1490" s="182"/>
      <c r="T1490" s="33">
        <v>120915</v>
      </c>
    </row>
    <row r="1491" spans="2:20">
      <c r="B1491" s="182"/>
      <c r="C1491" s="182"/>
      <c r="D1491" s="182"/>
      <c r="E1491" s="182"/>
      <c r="T1491" s="33">
        <v>121011</v>
      </c>
    </row>
    <row r="1492" spans="2:20">
      <c r="B1492" s="182"/>
      <c r="C1492" s="182"/>
      <c r="D1492" s="182"/>
      <c r="E1492" s="182"/>
      <c r="T1492" s="33">
        <v>131114</v>
      </c>
    </row>
    <row r="1493" spans="2:20">
      <c r="B1493" s="182"/>
      <c r="C1493" s="182"/>
      <c r="D1493" s="182"/>
      <c r="E1493" s="182"/>
      <c r="T1493" s="33">
        <v>141217</v>
      </c>
    </row>
    <row r="1494" spans="2:20">
      <c r="B1494" s="182"/>
      <c r="C1494" s="182"/>
      <c r="D1494" s="182"/>
      <c r="E1494" s="182"/>
      <c r="T1494" s="33">
        <v>171225</v>
      </c>
    </row>
    <row r="1495" spans="2:20">
      <c r="B1495" s="182"/>
      <c r="C1495" s="182"/>
      <c r="D1495" s="182"/>
      <c r="E1495" s="182"/>
      <c r="T1495" s="33">
        <v>161323</v>
      </c>
    </row>
    <row r="1496" spans="2:20">
      <c r="B1496" s="182"/>
      <c r="C1496" s="182"/>
      <c r="D1496" s="182"/>
      <c r="E1496" s="182"/>
      <c r="T1496" s="33">
        <v>171226</v>
      </c>
    </row>
    <row r="1497" spans="2:20">
      <c r="B1497" s="182"/>
      <c r="C1497" s="182"/>
      <c r="D1497" s="182"/>
      <c r="E1497" s="182"/>
      <c r="T1497" s="33">
        <v>161331</v>
      </c>
    </row>
    <row r="1498" spans="2:20">
      <c r="B1498" s="182"/>
      <c r="C1498" s="182"/>
      <c r="D1498" s="182"/>
      <c r="E1498" s="182"/>
      <c r="T1498" s="33">
        <v>161327</v>
      </c>
    </row>
    <row r="1499" spans="2:20">
      <c r="B1499" s="182"/>
      <c r="C1499" s="182"/>
      <c r="D1499" s="182"/>
      <c r="E1499" s="182"/>
      <c r="T1499" s="33">
        <v>151309</v>
      </c>
    </row>
    <row r="1500" spans="2:20">
      <c r="B1500" s="182"/>
      <c r="C1500" s="182"/>
      <c r="D1500" s="182"/>
      <c r="E1500" s="182"/>
      <c r="T1500" s="33">
        <v>141212</v>
      </c>
    </row>
    <row r="1501" spans="2:20">
      <c r="B1501" s="182"/>
      <c r="C1501" s="182"/>
      <c r="D1501" s="182"/>
      <c r="E1501" s="182"/>
      <c r="T1501" s="33">
        <v>161221</v>
      </c>
    </row>
    <row r="1502" spans="2:20">
      <c r="B1502" s="182"/>
      <c r="C1502" s="182"/>
      <c r="D1502" s="182"/>
      <c r="E1502" s="182"/>
      <c r="T1502" s="33">
        <v>171223</v>
      </c>
    </row>
    <row r="1503" spans="2:20">
      <c r="B1503" s="182"/>
      <c r="C1503" s="182"/>
      <c r="D1503" s="182"/>
      <c r="E1503" s="182"/>
      <c r="T1503" s="33">
        <v>171322</v>
      </c>
    </row>
    <row r="1504" spans="2:20">
      <c r="B1504" s="182"/>
      <c r="C1504" s="182"/>
      <c r="D1504" s="182"/>
      <c r="E1504" s="182"/>
      <c r="T1504" s="33">
        <v>161318</v>
      </c>
    </row>
    <row r="1505" spans="2:20">
      <c r="B1505" s="182"/>
      <c r="C1505" s="182"/>
      <c r="D1505" s="182"/>
      <c r="E1505" s="182"/>
      <c r="T1505" s="33">
        <v>161412</v>
      </c>
    </row>
    <row r="1506" spans="2:20">
      <c r="B1506" s="182"/>
      <c r="C1506" s="182"/>
      <c r="D1506" s="182"/>
      <c r="E1506" s="182"/>
      <c r="T1506" s="33">
        <v>161415</v>
      </c>
    </row>
    <row r="1507" spans="2:20">
      <c r="B1507" s="182"/>
      <c r="C1507" s="182"/>
      <c r="D1507" s="182"/>
      <c r="E1507" s="182"/>
      <c r="T1507" s="33">
        <v>161414</v>
      </c>
    </row>
    <row r="1508" spans="2:20">
      <c r="B1508" s="182"/>
      <c r="C1508" s="182"/>
      <c r="D1508" s="182"/>
      <c r="E1508" s="182"/>
      <c r="T1508" s="33">
        <v>171321</v>
      </c>
    </row>
    <row r="1509" spans="2:20">
      <c r="B1509" s="182"/>
      <c r="C1509" s="182"/>
      <c r="D1509" s="182"/>
      <c r="E1509" s="182"/>
      <c r="T1509" s="33">
        <v>120601</v>
      </c>
    </row>
    <row r="1510" spans="2:20">
      <c r="B1510" s="182"/>
      <c r="C1510" s="182"/>
      <c r="D1510" s="182"/>
      <c r="E1510" s="182"/>
      <c r="T1510" s="33">
        <v>131108</v>
      </c>
    </row>
    <row r="1511" spans="2:20">
      <c r="B1511" s="182"/>
      <c r="C1511" s="182"/>
      <c r="D1511" s="182"/>
      <c r="E1511" s="182"/>
      <c r="T1511" s="33">
        <v>131106</v>
      </c>
    </row>
    <row r="1512" spans="2:20">
      <c r="B1512" s="182"/>
      <c r="C1512" s="182"/>
      <c r="D1512" s="182"/>
      <c r="E1512" s="182"/>
      <c r="T1512" s="33">
        <v>151308</v>
      </c>
    </row>
    <row r="1513" spans="2:20">
      <c r="B1513" s="182"/>
      <c r="C1513" s="182"/>
      <c r="D1513" s="182"/>
      <c r="E1513" s="182"/>
      <c r="T1513" s="33">
        <v>151215</v>
      </c>
    </row>
    <row r="1514" spans="2:20">
      <c r="B1514" s="182"/>
      <c r="C1514" s="182"/>
      <c r="D1514" s="182"/>
      <c r="E1514" s="182"/>
      <c r="T1514" s="33">
        <v>161210</v>
      </c>
    </row>
    <row r="1515" spans="2:20">
      <c r="B1515" s="182"/>
      <c r="C1515" s="182"/>
      <c r="D1515" s="182"/>
      <c r="E1515" s="182"/>
      <c r="T1515" s="33">
        <v>121006</v>
      </c>
    </row>
    <row r="1516" spans="2:20">
      <c r="B1516" s="182"/>
      <c r="C1516" s="182"/>
      <c r="D1516" s="182"/>
      <c r="E1516" s="182"/>
      <c r="T1516" s="33">
        <v>121007</v>
      </c>
    </row>
    <row r="1517" spans="2:20">
      <c r="B1517" s="182"/>
      <c r="C1517" s="182"/>
      <c r="D1517" s="182"/>
      <c r="E1517" s="182"/>
      <c r="T1517" s="33">
        <v>121005</v>
      </c>
    </row>
    <row r="1518" spans="2:20">
      <c r="B1518" s="182"/>
      <c r="C1518" s="182"/>
      <c r="D1518" s="182"/>
      <c r="E1518" s="182"/>
      <c r="T1518" s="33">
        <v>120807</v>
      </c>
    </row>
    <row r="1519" spans="2:20">
      <c r="B1519" s="182"/>
      <c r="C1519" s="182"/>
      <c r="D1519" s="182"/>
      <c r="E1519" s="182"/>
      <c r="T1519" s="33">
        <v>131013</v>
      </c>
    </row>
    <row r="1520" spans="2:20">
      <c r="B1520" s="182"/>
      <c r="C1520" s="182"/>
      <c r="D1520" s="182"/>
      <c r="E1520" s="182"/>
      <c r="T1520" s="33">
        <v>181312</v>
      </c>
    </row>
    <row r="1521" spans="2:20">
      <c r="B1521" s="182"/>
      <c r="C1521" s="182"/>
      <c r="D1521" s="182"/>
      <c r="E1521" s="182"/>
      <c r="T1521" s="33">
        <v>191213</v>
      </c>
    </row>
    <row r="1522" spans="2:20">
      <c r="B1522" s="182"/>
      <c r="C1522" s="182"/>
      <c r="D1522" s="182"/>
      <c r="E1522" s="182"/>
      <c r="T1522" s="33">
        <v>191118</v>
      </c>
    </row>
    <row r="1523" spans="2:20">
      <c r="B1523" s="182"/>
      <c r="C1523" s="182"/>
      <c r="D1523" s="182"/>
      <c r="E1523" s="182"/>
      <c r="T1523" s="33">
        <v>191015</v>
      </c>
    </row>
    <row r="1524" spans="2:20">
      <c r="B1524" s="182"/>
      <c r="C1524" s="182"/>
      <c r="D1524" s="182"/>
      <c r="E1524" s="182"/>
      <c r="T1524" s="33">
        <v>191016</v>
      </c>
    </row>
    <row r="1525" spans="2:20">
      <c r="B1525" s="182"/>
      <c r="C1525" s="182"/>
      <c r="D1525" s="182"/>
      <c r="E1525" s="182"/>
      <c r="T1525" s="33">
        <v>190915</v>
      </c>
    </row>
    <row r="1526" spans="2:20">
      <c r="B1526" s="182"/>
      <c r="C1526" s="182"/>
      <c r="D1526" s="182"/>
      <c r="E1526" s="182"/>
      <c r="T1526" s="33">
        <v>181016</v>
      </c>
    </row>
    <row r="1527" spans="2:20">
      <c r="B1527" s="182"/>
      <c r="C1527" s="182"/>
      <c r="D1527" s="182"/>
      <c r="E1527" s="182"/>
      <c r="T1527" s="33">
        <v>191116</v>
      </c>
    </row>
    <row r="1528" spans="2:20">
      <c r="B1528" s="182"/>
      <c r="C1528" s="182"/>
      <c r="D1528" s="182"/>
      <c r="E1528" s="182"/>
      <c r="T1528" s="33">
        <v>190912</v>
      </c>
    </row>
    <row r="1529" spans="2:20">
      <c r="B1529" s="182"/>
      <c r="C1529" s="182"/>
      <c r="D1529" s="182"/>
      <c r="E1529" s="182"/>
      <c r="T1529" s="33">
        <v>181018</v>
      </c>
    </row>
    <row r="1530" spans="2:20">
      <c r="B1530" s="182"/>
      <c r="C1530" s="182"/>
      <c r="D1530" s="182"/>
      <c r="E1530" s="182"/>
      <c r="T1530" s="33">
        <v>180920</v>
      </c>
    </row>
    <row r="1531" spans="2:20">
      <c r="B1531" s="182"/>
      <c r="C1531" s="182"/>
      <c r="D1531" s="182"/>
      <c r="E1531" s="182"/>
      <c r="T1531" s="33">
        <v>180928</v>
      </c>
    </row>
    <row r="1532" spans="2:20">
      <c r="B1532" s="182"/>
      <c r="C1532" s="182"/>
      <c r="D1532" s="182"/>
      <c r="E1532" s="182"/>
      <c r="T1532" s="33">
        <v>180930</v>
      </c>
    </row>
    <row r="1533" spans="2:20">
      <c r="B1533" s="182"/>
      <c r="C1533" s="182"/>
      <c r="D1533" s="182"/>
      <c r="E1533" s="182"/>
      <c r="T1533" s="33">
        <v>181130</v>
      </c>
    </row>
    <row r="1534" spans="2:20">
      <c r="B1534" s="182"/>
      <c r="C1534" s="182"/>
      <c r="D1534" s="182"/>
      <c r="E1534" s="182"/>
      <c r="T1534" s="33">
        <v>181222</v>
      </c>
    </row>
    <row r="1535" spans="2:20">
      <c r="B1535" s="182"/>
      <c r="C1535" s="182"/>
      <c r="D1535" s="182"/>
      <c r="E1535" s="182"/>
      <c r="T1535" s="33">
        <v>181124</v>
      </c>
    </row>
    <row r="1536" spans="2:20">
      <c r="B1536" s="182"/>
      <c r="C1536" s="182"/>
      <c r="D1536" s="182"/>
      <c r="E1536" s="182"/>
      <c r="T1536" s="33">
        <v>191230</v>
      </c>
    </row>
    <row r="1537" spans="2:20">
      <c r="B1537" s="182"/>
      <c r="C1537" s="182"/>
      <c r="D1537" s="182"/>
      <c r="E1537" s="182"/>
      <c r="T1537" s="33">
        <v>191121</v>
      </c>
    </row>
    <row r="1538" spans="2:20">
      <c r="B1538" s="182"/>
      <c r="C1538" s="182"/>
      <c r="D1538" s="182"/>
      <c r="E1538" s="182"/>
      <c r="T1538" s="33">
        <v>171044</v>
      </c>
    </row>
    <row r="1539" spans="2:20">
      <c r="B1539" s="182"/>
      <c r="C1539" s="182"/>
      <c r="D1539" s="182"/>
      <c r="E1539" s="182"/>
      <c r="T1539" s="33">
        <v>171327</v>
      </c>
    </row>
    <row r="1540" spans="2:20">
      <c r="B1540" s="182"/>
      <c r="C1540" s="182"/>
      <c r="D1540" s="182"/>
      <c r="E1540" s="182"/>
      <c r="T1540" s="33">
        <v>181027</v>
      </c>
    </row>
    <row r="1541" spans="2:20">
      <c r="B1541" s="182"/>
      <c r="C1541" s="182"/>
      <c r="D1541" s="182"/>
      <c r="E1541" s="182"/>
      <c r="T1541" s="33">
        <v>181033</v>
      </c>
    </row>
    <row r="1542" spans="2:20">
      <c r="B1542" s="182"/>
      <c r="C1542" s="182"/>
      <c r="D1542" s="182"/>
      <c r="E1542" s="182"/>
      <c r="T1542" s="33">
        <v>151217</v>
      </c>
    </row>
    <row r="1543" spans="2:20">
      <c r="B1543" s="182"/>
      <c r="C1543" s="182"/>
      <c r="D1543" s="182"/>
      <c r="E1543" s="182"/>
      <c r="T1543" s="33">
        <v>151119</v>
      </c>
    </row>
    <row r="1544" spans="2:20">
      <c r="B1544" s="182"/>
      <c r="C1544" s="182"/>
      <c r="D1544" s="182"/>
      <c r="E1544" s="182"/>
      <c r="T1544" s="33">
        <v>161324</v>
      </c>
    </row>
    <row r="1545" spans="2:20">
      <c r="B1545" s="182"/>
      <c r="C1545" s="182"/>
      <c r="D1545" s="182"/>
      <c r="E1545" s="182"/>
      <c r="T1545" s="33">
        <v>171022</v>
      </c>
    </row>
    <row r="1546" spans="2:20">
      <c r="B1546" s="182"/>
      <c r="C1546" s="182"/>
      <c r="D1546" s="182"/>
      <c r="E1546" s="182"/>
      <c r="T1546" s="33">
        <v>171028</v>
      </c>
    </row>
    <row r="1547" spans="2:20">
      <c r="B1547" s="182"/>
      <c r="C1547" s="182"/>
      <c r="D1547" s="182"/>
      <c r="E1547" s="182"/>
      <c r="T1547" s="33">
        <v>130513</v>
      </c>
    </row>
    <row r="1548" spans="2:20">
      <c r="B1548" s="182"/>
      <c r="C1548" s="182"/>
      <c r="D1548" s="182"/>
      <c r="E1548" s="182"/>
      <c r="T1548" s="33">
        <v>131008</v>
      </c>
    </row>
    <row r="1549" spans="2:20">
      <c r="B1549" s="182"/>
      <c r="C1549" s="182"/>
      <c r="D1549" s="182"/>
      <c r="E1549" s="182"/>
      <c r="T1549" s="33">
        <v>141112</v>
      </c>
    </row>
    <row r="1550" spans="2:20">
      <c r="B1550" s="182"/>
      <c r="C1550" s="182"/>
      <c r="D1550" s="182"/>
      <c r="E1550" s="182"/>
      <c r="T1550" s="33">
        <v>160924</v>
      </c>
    </row>
    <row r="1551" spans="2:20">
      <c r="B1551" s="182"/>
      <c r="C1551" s="182"/>
      <c r="D1551" s="182"/>
      <c r="E1551" s="182"/>
      <c r="T1551" s="33">
        <v>161010</v>
      </c>
    </row>
    <row r="1552" spans="2:20">
      <c r="B1552" s="182"/>
      <c r="C1552" s="182"/>
      <c r="D1552" s="182"/>
      <c r="E1552" s="182"/>
      <c r="T1552" s="33">
        <v>161315</v>
      </c>
    </row>
    <row r="1553" spans="2:20">
      <c r="B1553" s="182"/>
      <c r="C1553" s="182"/>
      <c r="D1553" s="182"/>
      <c r="E1553" s="182"/>
      <c r="T1553" s="33">
        <v>171320</v>
      </c>
    </row>
    <row r="1554" spans="2:20">
      <c r="B1554" s="182"/>
      <c r="C1554" s="182"/>
      <c r="D1554" s="182"/>
      <c r="E1554" s="182"/>
      <c r="T1554" s="33">
        <v>151213</v>
      </c>
    </row>
    <row r="1555" spans="2:20">
      <c r="B1555" s="182"/>
      <c r="C1555" s="182"/>
      <c r="D1555" s="182"/>
      <c r="E1555" s="182"/>
      <c r="T1555" s="33">
        <v>151214</v>
      </c>
    </row>
    <row r="1556" spans="2:20">
      <c r="B1556" s="182"/>
      <c r="C1556" s="182"/>
      <c r="D1556" s="182"/>
      <c r="E1556" s="182"/>
      <c r="T1556" s="33">
        <v>151314</v>
      </c>
    </row>
    <row r="1557" spans="2:20">
      <c r="B1557" s="182"/>
      <c r="C1557" s="182"/>
      <c r="D1557" s="182"/>
      <c r="E1557" s="182"/>
      <c r="T1557" s="33">
        <v>161320</v>
      </c>
    </row>
    <row r="1558" spans="2:20">
      <c r="B1558" s="182"/>
      <c r="C1558" s="182"/>
      <c r="D1558" s="182"/>
      <c r="E1558" s="182"/>
      <c r="T1558" s="33">
        <v>161310</v>
      </c>
    </row>
    <row r="1559" spans="2:20">
      <c r="B1559" s="182"/>
      <c r="C1559" s="182"/>
      <c r="D1559" s="182"/>
      <c r="E1559" s="182"/>
      <c r="T1559" s="33">
        <v>161212</v>
      </c>
    </row>
    <row r="1560" spans="2:20">
      <c r="B1560" s="182"/>
      <c r="C1560" s="182"/>
      <c r="D1560" s="182"/>
      <c r="E1560" s="182"/>
      <c r="T1560" s="33" t="s">
        <v>102</v>
      </c>
    </row>
    <row r="1561" spans="2:20" ht="15">
      <c r="B1561" s="182"/>
      <c r="C1561" s="182"/>
      <c r="D1561" s="182"/>
      <c r="E1561" s="182"/>
      <c r="T1561" s="37" t="s">
        <v>103</v>
      </c>
    </row>
    <row r="1562" spans="2:20" ht="15">
      <c r="B1562" s="182"/>
      <c r="C1562" s="182"/>
      <c r="D1562" s="182"/>
      <c r="E1562" s="182"/>
      <c r="T1562" s="37" t="s">
        <v>104</v>
      </c>
    </row>
    <row r="1563" spans="2:20" ht="16">
      <c r="B1563" s="182"/>
      <c r="C1563" s="182"/>
      <c r="D1563" s="182"/>
      <c r="E1563" s="182"/>
      <c r="T1563" s="248">
        <v>110103</v>
      </c>
    </row>
    <row r="1564" spans="2:20" ht="16">
      <c r="B1564" s="182"/>
      <c r="C1564" s="182"/>
      <c r="D1564" s="182"/>
      <c r="E1564" s="182"/>
      <c r="T1564" s="248">
        <v>110615</v>
      </c>
    </row>
    <row r="1565" spans="2:20" ht="16">
      <c r="B1565" s="182"/>
      <c r="C1565" s="182"/>
      <c r="D1565" s="182"/>
      <c r="E1565" s="182"/>
      <c r="T1565" s="248">
        <v>110620</v>
      </c>
    </row>
    <row r="1566" spans="2:20" ht="16">
      <c r="B1566" s="182"/>
      <c r="C1566" s="182"/>
      <c r="D1566" s="182"/>
      <c r="E1566" s="182"/>
      <c r="T1566" s="248">
        <v>140951</v>
      </c>
    </row>
    <row r="1567" spans="2:20" ht="16">
      <c r="B1567" s="182"/>
      <c r="C1567" s="182"/>
      <c r="D1567" s="182"/>
      <c r="E1567" s="182"/>
      <c r="T1567" s="248">
        <v>181660</v>
      </c>
    </row>
    <row r="1568" spans="2:20" ht="16">
      <c r="B1568" s="182"/>
      <c r="C1568" s="182"/>
      <c r="D1568" s="182"/>
      <c r="E1568" s="182"/>
      <c r="T1568" s="248">
        <v>192047</v>
      </c>
    </row>
    <row r="1569" spans="2:20" ht="16">
      <c r="B1569" s="182"/>
      <c r="C1569" s="182"/>
      <c r="D1569" s="182"/>
      <c r="E1569" s="182"/>
      <c r="T1569" s="248">
        <v>133820</v>
      </c>
    </row>
    <row r="1570" spans="2:20" ht="16">
      <c r="B1570" s="182"/>
      <c r="C1570" s="182"/>
      <c r="D1570" s="182"/>
      <c r="E1570" s="182"/>
      <c r="T1570" s="248">
        <v>184017</v>
      </c>
    </row>
    <row r="1571" spans="2:20" ht="16">
      <c r="B1571" s="182"/>
      <c r="C1571" s="182"/>
      <c r="D1571" s="182"/>
      <c r="E1571" s="182"/>
      <c r="T1571" s="248">
        <v>130558</v>
      </c>
    </row>
    <row r="1572" spans="2:20" ht="15">
      <c r="B1572" s="182"/>
      <c r="C1572" s="182"/>
      <c r="D1572" s="182"/>
      <c r="E1572" s="182"/>
      <c r="T1572"/>
    </row>
    <row r="1573" spans="2:20" ht="15">
      <c r="B1573" s="182"/>
      <c r="C1573" s="182"/>
      <c r="D1573" s="182"/>
      <c r="E1573" s="182"/>
      <c r="T1573"/>
    </row>
    <row r="1574" spans="2:20" ht="15">
      <c r="B1574" s="182"/>
      <c r="C1574" s="182"/>
      <c r="D1574" s="182"/>
      <c r="E1574" s="182"/>
      <c r="T1574"/>
    </row>
    <row r="1575" spans="2:20" ht="15">
      <c r="B1575" s="182"/>
      <c r="C1575" s="182"/>
      <c r="D1575" s="182"/>
      <c r="E1575" s="182"/>
      <c r="T1575"/>
    </row>
    <row r="1576" spans="2:20" ht="15">
      <c r="B1576" s="182"/>
      <c r="C1576" s="182"/>
      <c r="D1576" s="182"/>
      <c r="E1576" s="182"/>
      <c r="T1576"/>
    </row>
    <row r="1577" spans="2:20" ht="15">
      <c r="B1577" s="182"/>
      <c r="C1577" s="182"/>
      <c r="D1577" s="182"/>
      <c r="E1577" s="182"/>
      <c r="T1577"/>
    </row>
    <row r="1578" spans="2:20" ht="15">
      <c r="B1578" s="182"/>
      <c r="C1578" s="182"/>
      <c r="D1578" s="182"/>
      <c r="E1578" s="182"/>
      <c r="T1578"/>
    </row>
    <row r="1579" spans="2:20" ht="15">
      <c r="B1579" s="182"/>
      <c r="C1579" s="182"/>
      <c r="D1579" s="182"/>
      <c r="E1579" s="182"/>
      <c r="T1579"/>
    </row>
    <row r="1580" spans="2:20" ht="15">
      <c r="B1580" s="182"/>
      <c r="C1580" s="182"/>
      <c r="D1580" s="182"/>
      <c r="E1580" s="182"/>
      <c r="T1580"/>
    </row>
    <row r="1581" spans="2:20" ht="15">
      <c r="B1581" s="182"/>
      <c r="C1581" s="182"/>
      <c r="D1581" s="182"/>
      <c r="E1581" s="182"/>
      <c r="T1581"/>
    </row>
    <row r="1582" spans="2:20" ht="15">
      <c r="B1582" s="182"/>
      <c r="C1582" s="182"/>
      <c r="D1582" s="182"/>
      <c r="E1582" s="182"/>
      <c r="T1582"/>
    </row>
    <row r="1583" spans="2:20" ht="15">
      <c r="B1583" s="182"/>
      <c r="C1583" s="182"/>
      <c r="D1583" s="182"/>
      <c r="E1583" s="182"/>
      <c r="T1583"/>
    </row>
    <row r="1584" spans="2:20" ht="15">
      <c r="B1584" s="182"/>
      <c r="C1584" s="182"/>
      <c r="D1584" s="182"/>
      <c r="E1584" s="182"/>
      <c r="T1584"/>
    </row>
    <row r="1585" spans="2:20" ht="15">
      <c r="B1585" s="182"/>
      <c r="C1585" s="182"/>
      <c r="D1585" s="182"/>
      <c r="E1585" s="182"/>
      <c r="T1585"/>
    </row>
    <row r="1586" spans="2:20" ht="15">
      <c r="B1586" s="182"/>
      <c r="C1586" s="182"/>
      <c r="D1586" s="182"/>
      <c r="E1586" s="182"/>
      <c r="T1586"/>
    </row>
    <row r="1587" spans="2:20" ht="15">
      <c r="B1587" s="182"/>
      <c r="C1587" s="182"/>
      <c r="D1587" s="182"/>
      <c r="E1587" s="182"/>
      <c r="T1587"/>
    </row>
    <row r="1588" spans="2:20" ht="15">
      <c r="B1588" s="182"/>
      <c r="C1588" s="182"/>
      <c r="D1588" s="182"/>
      <c r="E1588" s="182"/>
      <c r="T1588"/>
    </row>
    <row r="1589" spans="2:20" ht="15">
      <c r="B1589" s="182"/>
      <c r="C1589" s="182"/>
      <c r="D1589" s="182"/>
      <c r="E1589" s="182"/>
      <c r="T1589"/>
    </row>
    <row r="1590" spans="2:20" ht="15">
      <c r="B1590" s="182"/>
      <c r="C1590" s="182"/>
      <c r="D1590" s="182"/>
      <c r="E1590" s="182"/>
      <c r="T1590"/>
    </row>
    <row r="1591" spans="2:20" ht="15">
      <c r="B1591" s="182"/>
      <c r="C1591" s="182"/>
      <c r="D1591" s="182"/>
      <c r="E1591" s="182"/>
      <c r="T1591"/>
    </row>
    <row r="1592" spans="2:20" ht="15">
      <c r="B1592" s="182"/>
      <c r="C1592" s="182"/>
      <c r="D1592" s="182"/>
      <c r="E1592" s="182"/>
      <c r="T1592"/>
    </row>
    <row r="1593" spans="2:20" ht="15">
      <c r="B1593" s="182"/>
      <c r="C1593" s="182"/>
      <c r="D1593" s="182"/>
      <c r="E1593" s="182"/>
      <c r="T1593"/>
    </row>
    <row r="1594" spans="2:20" ht="15">
      <c r="B1594" s="182"/>
      <c r="C1594" s="182"/>
      <c r="D1594" s="182"/>
      <c r="E1594" s="182"/>
      <c r="T1594"/>
    </row>
    <row r="1595" spans="2:20" ht="15">
      <c r="B1595" s="182"/>
      <c r="C1595" s="182"/>
      <c r="D1595" s="182"/>
      <c r="E1595" s="182"/>
      <c r="T1595"/>
    </row>
    <row r="1596" spans="2:20" ht="15">
      <c r="B1596" s="182"/>
      <c r="C1596" s="182"/>
      <c r="D1596" s="182"/>
      <c r="E1596" s="182"/>
      <c r="T1596"/>
    </row>
    <row r="1597" spans="2:20" ht="15">
      <c r="B1597" s="182"/>
      <c r="C1597" s="182"/>
      <c r="D1597" s="182"/>
      <c r="E1597" s="182"/>
      <c r="T1597"/>
    </row>
    <row r="1598" spans="2:20" ht="15">
      <c r="B1598" s="182"/>
      <c r="C1598" s="182"/>
      <c r="D1598" s="182"/>
      <c r="E1598" s="182"/>
      <c r="T1598"/>
    </row>
    <row r="1599" spans="2:20" ht="15">
      <c r="B1599" s="182"/>
      <c r="C1599" s="182"/>
      <c r="D1599" s="182"/>
      <c r="E1599" s="182"/>
      <c r="T1599"/>
    </row>
    <row r="1600" spans="2:20" ht="15">
      <c r="B1600" s="182"/>
      <c r="C1600" s="182"/>
      <c r="D1600" s="182"/>
      <c r="E1600" s="182"/>
      <c r="T1600"/>
    </row>
  </sheetData>
  <autoFilter ref="A1:Y1571" xr:uid="{583ADB5A-C24B-4858-95AB-C64FD9136272}"/>
  <phoneticPr fontId="7" type="noConversion"/>
  <conditionalFormatting sqref="B1:E1 B1051:D1600 C547:C1050 E1051:E1600">
    <cfRule type="cellIs" dxfId="98" priority="130" operator="equal">
      <formula>"CAFE"</formula>
    </cfRule>
  </conditionalFormatting>
  <conditionalFormatting sqref="B1:D1 B1051:D1600 C547:C1050">
    <cfRule type="duplicateValues" dxfId="97" priority="108"/>
    <cfRule type="duplicateValues" dxfId="96" priority="109"/>
  </conditionalFormatting>
  <conditionalFormatting sqref="T842:T1560">
    <cfRule type="duplicateValues" dxfId="95" priority="106"/>
  </conditionalFormatting>
  <conditionalFormatting sqref="T1:T1600">
    <cfRule type="duplicateValues" dxfId="94" priority="95"/>
  </conditionalFormatting>
  <conditionalFormatting sqref="B919:B1048">
    <cfRule type="cellIs" dxfId="93" priority="90" operator="equal">
      <formula>"CAFE"</formula>
    </cfRule>
  </conditionalFormatting>
  <conditionalFormatting sqref="B685:B689 B547:B658">
    <cfRule type="cellIs" dxfId="92" priority="89" operator="equal">
      <formula>"CAFE"</formula>
    </cfRule>
  </conditionalFormatting>
  <conditionalFormatting sqref="B659:B666">
    <cfRule type="cellIs" dxfId="91" priority="88" operator="equal">
      <formula>"CAFE"</formula>
    </cfRule>
  </conditionalFormatting>
  <conditionalFormatting sqref="B667:B672">
    <cfRule type="cellIs" dxfId="90" priority="87" operator="equal">
      <formula>"CAFE"</formula>
    </cfRule>
  </conditionalFormatting>
  <conditionalFormatting sqref="B673:B676">
    <cfRule type="cellIs" dxfId="89" priority="86" operator="equal">
      <formula>"CAFE"</formula>
    </cfRule>
  </conditionalFormatting>
  <conditionalFormatting sqref="B677">
    <cfRule type="cellIs" dxfId="88" priority="85" operator="equal">
      <formula>"CAFE"</formula>
    </cfRule>
  </conditionalFormatting>
  <conditionalFormatting sqref="B678:B684">
    <cfRule type="cellIs" dxfId="87" priority="84" operator="equal">
      <formula>"CAFE"</formula>
    </cfRule>
  </conditionalFormatting>
  <conditionalFormatting sqref="B690:B706">
    <cfRule type="cellIs" dxfId="86" priority="81" operator="equal">
      <formula>"CAFE"</formula>
    </cfRule>
  </conditionalFormatting>
  <conditionalFormatting sqref="B707:B714">
    <cfRule type="cellIs" dxfId="85" priority="80" operator="equal">
      <formula>"CAFE"</formula>
    </cfRule>
  </conditionalFormatting>
  <conditionalFormatting sqref="B715:B720">
    <cfRule type="cellIs" dxfId="84" priority="79" operator="equal">
      <formula>"CAFE"</formula>
    </cfRule>
  </conditionalFormatting>
  <conditionalFormatting sqref="B721:B724">
    <cfRule type="cellIs" dxfId="83" priority="78" operator="equal">
      <formula>"CAFE"</formula>
    </cfRule>
  </conditionalFormatting>
  <conditionalFormatting sqref="A690:B724">
    <cfRule type="duplicateValues" dxfId="82" priority="77"/>
  </conditionalFormatting>
  <conditionalFormatting sqref="B690:B724">
    <cfRule type="duplicateValues" dxfId="81" priority="82"/>
    <cfRule type="duplicateValues" dxfId="80" priority="83"/>
  </conditionalFormatting>
  <conditionalFormatting sqref="B547:B689">
    <cfRule type="duplicateValues" dxfId="79" priority="91"/>
    <cfRule type="duplicateValues" dxfId="78" priority="92"/>
  </conditionalFormatting>
  <conditionalFormatting sqref="B887:B901">
    <cfRule type="cellIs" dxfId="77" priority="73" operator="equal">
      <formula>"CAFE"</formula>
    </cfRule>
  </conditionalFormatting>
  <conditionalFormatting sqref="B882:B886 B725:B855">
    <cfRule type="cellIs" dxfId="76" priority="70" operator="equal">
      <formula>"CAFE"</formula>
    </cfRule>
  </conditionalFormatting>
  <conditionalFormatting sqref="B856:B863">
    <cfRule type="cellIs" dxfId="75" priority="69" operator="equal">
      <formula>"CAFE"</formula>
    </cfRule>
  </conditionalFormatting>
  <conditionalFormatting sqref="B864:B869">
    <cfRule type="cellIs" dxfId="74" priority="68" operator="equal">
      <formula>"CAFE"</formula>
    </cfRule>
  </conditionalFormatting>
  <conditionalFormatting sqref="B870:B873">
    <cfRule type="cellIs" dxfId="73" priority="67" operator="equal">
      <formula>"CAFE"</formula>
    </cfRule>
  </conditionalFormatting>
  <conditionalFormatting sqref="B874">
    <cfRule type="cellIs" dxfId="72" priority="66" operator="equal">
      <formula>"CAFE"</formula>
    </cfRule>
  </conditionalFormatting>
  <conditionalFormatting sqref="B875:B881">
    <cfRule type="cellIs" dxfId="71" priority="65" operator="equal">
      <formula>"CAFE"</formula>
    </cfRule>
  </conditionalFormatting>
  <conditionalFormatting sqref="B902:B908">
    <cfRule type="cellIs" dxfId="70" priority="64" operator="equal">
      <formula>"CAFE"</formula>
    </cfRule>
  </conditionalFormatting>
  <conditionalFormatting sqref="B909:B914">
    <cfRule type="cellIs" dxfId="69" priority="63" operator="equal">
      <formula>"CAFE"</formula>
    </cfRule>
  </conditionalFormatting>
  <conditionalFormatting sqref="B915:B918">
    <cfRule type="cellIs" dxfId="68" priority="62" operator="equal">
      <formula>"CAFE"</formula>
    </cfRule>
  </conditionalFormatting>
  <conditionalFormatting sqref="B725:B886">
    <cfRule type="duplicateValues" dxfId="67" priority="71"/>
    <cfRule type="duplicateValues" dxfId="66" priority="72"/>
  </conditionalFormatting>
  <conditionalFormatting sqref="B1049:B1050">
    <cfRule type="cellIs" dxfId="65" priority="59" operator="equal">
      <formula>"CAFE"</formula>
    </cfRule>
  </conditionalFormatting>
  <conditionalFormatting sqref="B1049:B1050">
    <cfRule type="duplicateValues" dxfId="64" priority="60"/>
    <cfRule type="duplicateValues" dxfId="63" priority="61"/>
  </conditionalFormatting>
  <conditionalFormatting sqref="A887:B918">
    <cfRule type="duplicateValues" dxfId="62" priority="74"/>
  </conditionalFormatting>
  <conditionalFormatting sqref="B887:B918">
    <cfRule type="duplicateValues" dxfId="61" priority="75"/>
    <cfRule type="duplicateValues" dxfId="60" priority="76"/>
  </conditionalFormatting>
  <conditionalFormatting sqref="B919:B1048">
    <cfRule type="duplicateValues" dxfId="59" priority="93"/>
    <cfRule type="duplicateValues" dxfId="58" priority="94"/>
  </conditionalFormatting>
  <conditionalFormatting sqref="D547:D724 E919:E933 D914:D1050 E941:E963 E967:E968 E970:E974 E976:E978 E980:E1009 E1012:E1023 E1025 E1032:E1037 E1041:E1043 E1047:E1048 E935:E938 E965 E1027:E1030 E1039">
    <cfRule type="cellIs" dxfId="57" priority="56" operator="equal">
      <formula>"CAFE"</formula>
    </cfRule>
  </conditionalFormatting>
  <conditionalFormatting sqref="D547:D724">
    <cfRule type="duplicateValues" dxfId="56" priority="54"/>
    <cfRule type="duplicateValues" dxfId="55" priority="55"/>
  </conditionalFormatting>
  <conditionalFormatting sqref="E685:E689 E547:E658 E678 E691 E712:E714 E722:E724 E698:E702">
    <cfRule type="cellIs" dxfId="54" priority="53" operator="equal">
      <formula>"CAFE"</formula>
    </cfRule>
  </conditionalFormatting>
  <conditionalFormatting sqref="E680 E669 E659 E693 E707 E717">
    <cfRule type="cellIs" dxfId="53" priority="52" operator="equal">
      <formula>"CAFE"</formula>
    </cfRule>
  </conditionalFormatting>
  <conditionalFormatting sqref="E681 E670 E660 E694 E708 E718">
    <cfRule type="cellIs" dxfId="52" priority="51" operator="equal">
      <formula>"CAFE"</formula>
    </cfRule>
  </conditionalFormatting>
  <conditionalFormatting sqref="E672 E662 E710 E720">
    <cfRule type="cellIs" dxfId="51" priority="50" operator="equal">
      <formula>"CAFE"</formula>
    </cfRule>
  </conditionalFormatting>
  <conditionalFormatting sqref="E684 E673 E663 E697 E711 E721">
    <cfRule type="cellIs" dxfId="50" priority="49" operator="equal">
      <formula>"CAFE"</formula>
    </cfRule>
  </conditionalFormatting>
  <conditionalFormatting sqref="E674 E664">
    <cfRule type="cellIs" dxfId="49" priority="48" operator="equal">
      <formula>"CAFE"</formula>
    </cfRule>
  </conditionalFormatting>
  <conditionalFormatting sqref="E675 E665">
    <cfRule type="cellIs" dxfId="48" priority="47" operator="equal">
      <formula>"CAFE"</formula>
    </cfRule>
  </conditionalFormatting>
  <conditionalFormatting sqref="E676 E666">
    <cfRule type="cellIs" dxfId="47" priority="46" operator="equal">
      <formula>"CAFE"</formula>
    </cfRule>
  </conditionalFormatting>
  <conditionalFormatting sqref="E671 E661 E709 E719">
    <cfRule type="cellIs" dxfId="46" priority="45" operator="equal">
      <formula>"CAFE"</formula>
    </cfRule>
  </conditionalFormatting>
  <conditionalFormatting sqref="E667 E677 E690 E705 E715">
    <cfRule type="cellIs" dxfId="45" priority="44" operator="equal">
      <formula>"CAFE"</formula>
    </cfRule>
  </conditionalFormatting>
  <conditionalFormatting sqref="E668 E706 E716">
    <cfRule type="cellIs" dxfId="44" priority="43" operator="equal">
      <formula>"CAFE"</formula>
    </cfRule>
  </conditionalFormatting>
  <conditionalFormatting sqref="E679 E692">
    <cfRule type="cellIs" dxfId="43" priority="42" operator="equal">
      <formula>"CAFE"</formula>
    </cfRule>
  </conditionalFormatting>
  <conditionalFormatting sqref="E682 E695 E703">
    <cfRule type="cellIs" dxfId="42" priority="41" operator="equal">
      <formula>"CAFE"</formula>
    </cfRule>
  </conditionalFormatting>
  <conditionalFormatting sqref="E683 E696 E704">
    <cfRule type="cellIs" dxfId="41" priority="40" operator="equal">
      <formula>"CAFE"</formula>
    </cfRule>
  </conditionalFormatting>
  <conditionalFormatting sqref="D725:D913">
    <cfRule type="cellIs" dxfId="40" priority="37" operator="equal">
      <formula>"CAFE"</formula>
    </cfRule>
  </conditionalFormatting>
  <conditionalFormatting sqref="E875 E882:E887 E907:E908 E912 E966 E969 E975 E979 E1024 E1031 E1040 E1044:E1046 E725:E855 E893:E898 E916:E918 E934 E939:E940 E964 E1010:E1011 E1026 E1038">
    <cfRule type="cellIs" dxfId="39" priority="36" operator="equal">
      <formula>"CAFE"</formula>
    </cfRule>
  </conditionalFormatting>
  <conditionalFormatting sqref="E877 E866 E856 E889 E902 E911">
    <cfRule type="cellIs" dxfId="38" priority="35" operator="equal">
      <formula>"CAFE"</formula>
    </cfRule>
  </conditionalFormatting>
  <conditionalFormatting sqref="E878 E867 E857 E890 E903">
    <cfRule type="cellIs" dxfId="37" priority="34" operator="equal">
      <formula>"CAFE"</formula>
    </cfRule>
  </conditionalFormatting>
  <conditionalFormatting sqref="E869 E859 E905 E914">
    <cfRule type="cellIs" dxfId="36" priority="33" operator="equal">
      <formula>"CAFE"</formula>
    </cfRule>
  </conditionalFormatting>
  <conditionalFormatting sqref="E881 E870 E860 E906 E915">
    <cfRule type="cellIs" dxfId="35" priority="32" operator="equal">
      <formula>"CAFE"</formula>
    </cfRule>
  </conditionalFormatting>
  <conditionalFormatting sqref="E871 E861">
    <cfRule type="cellIs" dxfId="34" priority="31" operator="equal">
      <formula>"CAFE"</formula>
    </cfRule>
  </conditionalFormatting>
  <conditionalFormatting sqref="E872 E862">
    <cfRule type="cellIs" dxfId="33" priority="30" operator="equal">
      <formula>"CAFE"</formula>
    </cfRule>
  </conditionalFormatting>
  <conditionalFormatting sqref="E873 E863">
    <cfRule type="cellIs" dxfId="32" priority="29" operator="equal">
      <formula>"CAFE"</formula>
    </cfRule>
  </conditionalFormatting>
  <conditionalFormatting sqref="E868 E858 E904 E913">
    <cfRule type="cellIs" dxfId="31" priority="28" operator="equal">
      <formula>"CAFE"</formula>
    </cfRule>
  </conditionalFormatting>
  <conditionalFormatting sqref="E864 E874 E909">
    <cfRule type="cellIs" dxfId="30" priority="27" operator="equal">
      <formula>"CAFE"</formula>
    </cfRule>
  </conditionalFormatting>
  <conditionalFormatting sqref="E865 E901 E910">
    <cfRule type="cellIs" dxfId="29" priority="26" operator="equal">
      <formula>"CAFE"</formula>
    </cfRule>
  </conditionalFormatting>
  <conditionalFormatting sqref="E876 E888">
    <cfRule type="cellIs" dxfId="28" priority="25" operator="equal">
      <formula>"CAFE"</formula>
    </cfRule>
  </conditionalFormatting>
  <conditionalFormatting sqref="E879 E891 E899">
    <cfRule type="cellIs" dxfId="27" priority="24" operator="equal">
      <formula>"CAFE"</formula>
    </cfRule>
  </conditionalFormatting>
  <conditionalFormatting sqref="E880 E892 E900">
    <cfRule type="cellIs" dxfId="26" priority="23" operator="equal">
      <formula>"CAFE"</formula>
    </cfRule>
  </conditionalFormatting>
  <conditionalFormatting sqref="E1049:E1050">
    <cfRule type="cellIs" dxfId="25" priority="22" operator="equal">
      <formula>"CAFE"</formula>
    </cfRule>
  </conditionalFormatting>
  <conditionalFormatting sqref="D725:D913">
    <cfRule type="duplicateValues" dxfId="24" priority="38"/>
    <cfRule type="duplicateValues" dxfId="23" priority="39"/>
  </conditionalFormatting>
  <conditionalFormatting sqref="D914:D1050">
    <cfRule type="duplicateValues" dxfId="22" priority="57"/>
    <cfRule type="duplicateValues" dxfId="21" priority="58"/>
  </conditionalFormatting>
  <conditionalFormatting sqref="D2:D546">
    <cfRule type="cellIs" dxfId="20" priority="7" operator="equal">
      <formula>"CAFE"</formula>
    </cfRule>
    <cfRule type="duplicateValues" dxfId="19" priority="8"/>
    <cfRule type="duplicateValues" dxfId="18" priority="9"/>
  </conditionalFormatting>
  <conditionalFormatting sqref="E2:E3 E25 E54 E82 E93 E110 E115 E126:E127 E129 E143 E148 E221 E240 E249 E269 E278 E328:E329 E376 E424 E477:E478 E495 E501 E507 E530 E546">
    <cfRule type="cellIs" dxfId="17" priority="13" operator="equal">
      <formula>"CAFE"</formula>
    </cfRule>
  </conditionalFormatting>
  <conditionalFormatting sqref="E5:E6 E8:E20 E35:E48 E64:E76 E95:E96 E100:E108 E133:E139 E166 E168:E170 E184:E193 E203 E206:E211 E223:E227 E230:E234 E252:E256 E258:E263 E280:E288 E309 E312:E319 E331 E333:E339 E351:E354 E363:E369 E385 E410:E415 E418:E422 E427:E432 E446:E450 E468:E475">
    <cfRule type="cellIs" dxfId="16" priority="6" operator="equal">
      <formula>"CAFE"</formula>
    </cfRule>
  </conditionalFormatting>
  <conditionalFormatting sqref="E28:E29 E31:E33 E57:E58 E60:E62 E84:E85 E87:E89 E91 E98 E118:E119 E122:E124 E131 E141 E151:E152 E155:E158 E160:E164 E176:E177 E179:E182 E195 E197:E198 E200 E215:E216 E218 E242:E243 E245:E247 E271:E272 E274:E276 E291:E292 E300:E302 E304:E307 E322 E324:E326 E345 E349 E357 E360 E371 E378 E388 E404:E405 E408 E435:E436 E439 E442 E444 E458 E462 E464:E465 E482:E484 E486 E489:E490 E509:E512 E523 E525 E541:E544">
    <cfRule type="cellIs" dxfId="15" priority="12" operator="equal">
      <formula>"CAFE"</formula>
    </cfRule>
  </conditionalFormatting>
  <conditionalFormatting sqref="E382:E383 E391 E514:E515 E532:E534">
    <cfRule type="cellIs" dxfId="14" priority="11" operator="equal">
      <formula>"CAFE"</formula>
    </cfRule>
  </conditionalFormatting>
  <conditionalFormatting sqref="E497:E499">
    <cfRule type="cellIs" dxfId="13" priority="10" operator="equal">
      <formula>"CAFE"</formula>
    </cfRule>
  </conditionalFormatting>
  <conditionalFormatting sqref="C2:C3 C25 C54 C82 C93 C110 C115 C126:C127 C129 C143 C148 C221 C240 C249 C269 C278 C328:C329 C376 C424 C477:C478 C495 C501 C507 C530 C546">
    <cfRule type="cellIs" dxfId="12" priority="5" operator="equal">
      <formula>"CAFE"</formula>
    </cfRule>
  </conditionalFormatting>
  <conditionalFormatting sqref="C5:C6 C8:C20 C35:C48 C64:C76 C95:C96 C100:C108 C133:C139 C166 C168:C170 C184:C193 C203 C206:C211 C223:C227 C230:C234 C252:C256 C258:C263 C280:C288 C309 C312:C319 C331 C333:C339 C351:C354 C363:C369 C385 C410:C415 C418:C422 C427:C432 C446:C450 C468:C475">
    <cfRule type="cellIs" dxfId="11" priority="1" operator="equal">
      <formula>"CAFE"</formula>
    </cfRule>
  </conditionalFormatting>
  <conditionalFormatting sqref="C28:C29 C31:C33 C57:C58 C60:C62 C84:C85 C87:C89 C91 C98 C118:C119 C122:C124 C131 C141 C151:C152 C155:C158 C160:C164 C176:C177 C179:C182 C195 C197:C198 C200 C215:C216 C218 C242:C243 C245:C247 C271:C272 C274:C276 C291:C292 C300:C302 C304:C307 C322 C324:C326 C345 C349 C357 C360 C371 C378 C388 C404:C405 C408 C435:C436 C439 C442 C444 C458 C462 C464:C465 C482:C484 C486 C489:C490 C509:C512 C523 C525 C541:C544">
    <cfRule type="cellIs" dxfId="10" priority="4" operator="equal">
      <formula>"CAFE"</formula>
    </cfRule>
  </conditionalFormatting>
  <conditionalFormatting sqref="C382:C383 C391 C514:C515 C532:C534">
    <cfRule type="cellIs" dxfId="9" priority="3" operator="equal">
      <formula>"CAFE"</formula>
    </cfRule>
  </conditionalFormatting>
  <conditionalFormatting sqref="C497:C499">
    <cfRule type="cellIs" dxfId="8" priority="2" operator="equal">
      <formula>"CAFE"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AB004-181D-4093-9843-0BB3BCA856DB}">
  <sheetPr codeName="Hoja8"/>
  <dimension ref="A1:N73"/>
  <sheetViews>
    <sheetView topLeftCell="M1" zoomScale="89" zoomScaleNormal="89" workbookViewId="0">
      <selection activeCell="L5" sqref="A1:L1048576"/>
    </sheetView>
  </sheetViews>
  <sheetFormatPr baseColWidth="10" defaultColWidth="10.83203125" defaultRowHeight="14"/>
  <cols>
    <col min="1" max="1" width="10.83203125" style="1" hidden="1" customWidth="1"/>
    <col min="2" max="2" width="46.83203125" style="1" hidden="1" customWidth="1"/>
    <col min="3" max="3" width="24.6640625" style="1" hidden="1" customWidth="1"/>
    <col min="4" max="4" width="24.5" style="1" hidden="1" customWidth="1"/>
    <col min="5" max="5" width="18.83203125" style="1" hidden="1" customWidth="1"/>
    <col min="6" max="6" width="15.5" style="1" hidden="1" customWidth="1"/>
    <col min="7" max="7" width="24.5" style="1" hidden="1" customWidth="1"/>
    <col min="8" max="8" width="26.1640625" style="1" hidden="1" customWidth="1"/>
    <col min="9" max="9" width="12.6640625" style="1" hidden="1" customWidth="1"/>
    <col min="10" max="11" width="10.83203125" style="1" hidden="1" customWidth="1"/>
    <col min="12" max="12" width="20.5" style="1" hidden="1" customWidth="1"/>
    <col min="13" max="15" width="10.83203125" style="1" customWidth="1"/>
    <col min="16" max="16384" width="10.83203125" style="1"/>
  </cols>
  <sheetData>
    <row r="1" spans="2:14" ht="24">
      <c r="B1" s="391" t="s">
        <v>135</v>
      </c>
      <c r="C1" s="391"/>
      <c r="D1" s="391"/>
      <c r="E1" s="391"/>
      <c r="F1" s="391"/>
      <c r="G1" s="391"/>
      <c r="H1" s="391"/>
    </row>
    <row r="2" spans="2:14" ht="20">
      <c r="B2" s="67" t="s">
        <v>136</v>
      </c>
      <c r="C2" s="68">
        <f>FICHA!B3</f>
        <v>0</v>
      </c>
      <c r="D2" s="69" t="s">
        <v>137</v>
      </c>
      <c r="E2" s="70">
        <f>FICHA!E3</f>
        <v>0</v>
      </c>
      <c r="F2" s="69" t="s">
        <v>138</v>
      </c>
      <c r="G2" s="70">
        <f>FICHA!I3</f>
        <v>0</v>
      </c>
      <c r="H2" s="71"/>
      <c r="I2" s="71"/>
    </row>
    <row r="3" spans="2:14" ht="20">
      <c r="B3" s="69" t="s">
        <v>139</v>
      </c>
      <c r="C3" s="72">
        <f>FICHA!B22</f>
        <v>0</v>
      </c>
      <c r="D3" s="73"/>
      <c r="E3" s="71"/>
      <c r="F3" s="71"/>
      <c r="G3" s="71"/>
      <c r="H3" s="71"/>
      <c r="I3" s="71"/>
    </row>
    <row r="4" spans="2:14" ht="20">
      <c r="B4" s="69" t="s">
        <v>140</v>
      </c>
      <c r="C4" s="72">
        <f>FICHA!B21</f>
        <v>0</v>
      </c>
      <c r="D4" s="74"/>
      <c r="E4" s="71"/>
      <c r="F4" s="71"/>
      <c r="G4" s="71"/>
      <c r="H4" s="71"/>
      <c r="I4" s="71"/>
      <c r="M4" s="5"/>
    </row>
    <row r="5" spans="2:14" ht="20">
      <c r="B5" s="69" t="s">
        <v>141</v>
      </c>
      <c r="C5" s="72">
        <v>2</v>
      </c>
      <c r="D5" s="73"/>
      <c r="E5" s="71"/>
      <c r="F5" s="71"/>
      <c r="G5" s="71"/>
      <c r="J5" s="75"/>
      <c r="M5" s="5"/>
    </row>
    <row r="6" spans="2:14" ht="20">
      <c r="B6" s="69" t="s">
        <v>142</v>
      </c>
      <c r="C6" s="72" t="str">
        <f>FICHA!E8</f>
        <v/>
      </c>
      <c r="D6" s="73"/>
      <c r="E6" s="71"/>
      <c r="F6" s="71"/>
      <c r="G6" s="71"/>
      <c r="L6" s="76">
        <f>$C$3*$C$4*$C$7</f>
        <v>0</v>
      </c>
      <c r="M6" s="5"/>
    </row>
    <row r="7" spans="2:14" ht="20">
      <c r="B7" s="69" t="s">
        <v>143</v>
      </c>
      <c r="C7" s="77">
        <f>FICHA!I7</f>
        <v>0</v>
      </c>
      <c r="D7" s="73"/>
      <c r="E7" s="71"/>
      <c r="F7" s="71"/>
      <c r="G7" s="71"/>
      <c r="L7" s="5" t="str">
        <f>IF(FICHA!A25="","N/A",FICHA!A25)</f>
        <v>BLOCKING</v>
      </c>
      <c r="M7" s="5"/>
    </row>
    <row r="8" spans="2:14" ht="20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IF(FICHA!A26="","N/A",FICHA!A26)</f>
        <v>N/A</v>
      </c>
      <c r="M8" s="5"/>
    </row>
    <row r="9" spans="2:14" ht="20">
      <c r="B9" s="69" t="s">
        <v>150</v>
      </c>
      <c r="C9" s="72" t="str">
        <f>FICHA!I6</f>
        <v>OSCURO</v>
      </c>
      <c r="D9" s="73"/>
      <c r="E9" s="71"/>
      <c r="F9" s="71"/>
      <c r="G9" s="71"/>
      <c r="L9" s="5" t="str">
        <f>IF(FICHA!A27="","N/A",FICHA!A27)</f>
        <v>N/A</v>
      </c>
      <c r="M9" s="5">
        <f>IF(AND(C12="ISOTIPO",(C9="CLARO")),'COSTOS '!L4,IF(AND(C12="ISOTIPO",C9="OSCURO"),'COSTOS '!L4,IF(AND(C12="ISOTIPO",C9="MEDIO"),'COSTOS '!L4,IF(AND(C12="ESTAMPADO",(C9="CLARO")),'COSTOS '!O4,IF(AND(C12="ESTAMPADO",(C9="OSCURO")),'COSTOS '!O4,IF(AND(C12="ESTAMPADO",(C9="MEDIO")),'COSTOS '!O4,IF(C9="","",IF(C9="OSCURO",'COSTOS '!F4,IF(C9="MEDIO",'COSTOS '!F4,IF(C9="CLARO",'COSTOS '!I4))))))))))</f>
        <v>420</v>
      </c>
      <c r="N9" s="1">
        <f>IF(C9="OSCURO",'COSTOS '!F5,IF(C9="MEDIO",'COSTOS '!F5,IF(C9="CLARO",'COSTOS '!I5,"")))</f>
        <v>198</v>
      </c>
    </row>
    <row r="10" spans="2:14" ht="17.5" customHeight="1">
      <c r="B10" s="69" t="s">
        <v>145</v>
      </c>
      <c r="C10" s="72" t="str">
        <f>IF(FICHA!K7="","",FICHA!K7)</f>
        <v/>
      </c>
      <c r="D10" s="73"/>
      <c r="E10" s="71"/>
      <c r="F10" s="71"/>
      <c r="G10" s="71"/>
      <c r="H10" s="42"/>
      <c r="I10" s="42"/>
      <c r="L10" s="5" t="str">
        <f>IF(FICHA!B30="BLANCO","BASE BLANCA",IF(FICHA!B30&gt;=1,"COLOR PLASTISOL",IF(FICHA!B30="NEGRO","COLOR PLASTISOL",IF(FICHA!B30="","N/A",FICHA!B30))))</f>
        <v>N/A</v>
      </c>
      <c r="M10" s="5"/>
    </row>
    <row r="11" spans="2:14" ht="20">
      <c r="B11" s="69" t="s">
        <v>178</v>
      </c>
      <c r="C11" s="72" t="str">
        <f>IF(FICHA!B8="","",FICHA!B8)</f>
        <v/>
      </c>
      <c r="D11" s="73"/>
      <c r="E11" s="71"/>
      <c r="F11" s="71"/>
      <c r="G11" s="71"/>
      <c r="H11" s="42"/>
      <c r="I11" s="42"/>
      <c r="L11" s="5" t="str">
        <f>IF(FICHA!B31="BLANCO","BASE BLANCA",IF(FICHA!B31&gt;=1,"COLOR PLASTISOL",IF(FICHA!B31="NEGRO","COLOR PLASTISOL",IF(FICHA!B31="","N/A",FICHA!B31))))</f>
        <v>N/A</v>
      </c>
    </row>
    <row r="12" spans="2:14" ht="20">
      <c r="B12" s="230" t="s">
        <v>280</v>
      </c>
      <c r="C12" s="232" t="str">
        <f>IF(FICHA!J5="","",FICHA!J5)</f>
        <v/>
      </c>
      <c r="D12" s="73"/>
      <c r="E12" s="71"/>
      <c r="F12" s="71"/>
      <c r="G12" s="71"/>
      <c r="H12" s="42"/>
      <c r="I12" s="42"/>
      <c r="L12" s="5" t="str">
        <f>IF(FICHA!B32="BLANCO","BASE BLANCA",IF(FICHA!B32&gt;=1,"COLOR PLASTISOL",IF(FICHA!B32="NEGRO","COLOR PLASTISOL",IF(FICHA!B32="","N/A",FICHA!B32))))</f>
        <v>N/A</v>
      </c>
    </row>
    <row r="13" spans="2:14" ht="20">
      <c r="B13" s="78"/>
      <c r="C13" s="79"/>
      <c r="D13" s="73"/>
      <c r="E13" s="71"/>
      <c r="F13" s="71"/>
      <c r="G13" s="71"/>
      <c r="H13" s="42"/>
      <c r="I13" s="42"/>
      <c r="L13" s="5" t="str">
        <f>IF(FICHA!B33="BLANCO","BASE BLANCA",IF(FICHA!B33&gt;=1,"COLOR PLASTISOL",IF(FICHA!B33="NEGRO","COLOR PLASTISOL",IF(FICHA!B33="","N/A",FICHA!B33))))</f>
        <v>N/A</v>
      </c>
    </row>
    <row r="14" spans="2:14" ht="20">
      <c r="B14" s="78"/>
      <c r="C14" s="80"/>
      <c r="D14" s="73"/>
      <c r="E14" s="71"/>
      <c r="F14" s="71"/>
      <c r="G14" s="71"/>
      <c r="H14" s="42"/>
      <c r="I14" s="42"/>
    </row>
    <row r="15" spans="2:14" ht="19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4">
      <c r="B16" s="3"/>
      <c r="C16" s="4" t="s">
        <v>106</v>
      </c>
      <c r="D16" s="82">
        <f>IF($L$7="N/A",0,$C$3*$C$4*$C$7)</f>
        <v>0</v>
      </c>
      <c r="E16" s="4" t="str">
        <f>IF(FICHA!A25="","N/A",FICHA!A25)</f>
        <v>BLOCKING</v>
      </c>
      <c r="F16" s="83">
        <f>VLOOKUP(E16,'COSTOS '!$B$2:$C$16,2,0)</f>
        <v>48900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IF(FICHA!A26="","N/A",FICHA!A26)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IF(FICHA!A27="","N/A",FICHA!A27)</f>
        <v>N/A</v>
      </c>
      <c r="F18" s="83">
        <f>VLOOKUP(E18,'COSTOS '!$B$2:$C$16,2,0)</f>
        <v>0</v>
      </c>
    </row>
    <row r="19" spans="2:11">
      <c r="B19" s="3"/>
      <c r="C19" s="4">
        <f>FICHA!B30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FICHA!A30</f>
        <v>0</v>
      </c>
      <c r="F19" s="83">
        <f>IFERROR(VLOOKUP(E19,'COSTOS '!$B$2:$C$16,2,0),0)</f>
        <v>0</v>
      </c>
      <c r="K19" s="5"/>
    </row>
    <row r="20" spans="2:11">
      <c r="B20" s="3"/>
      <c r="C20" s="4">
        <f>FICHA!B31</f>
        <v>0</v>
      </c>
      <c r="D20" s="84">
        <f>IF(L11="N/A",0,IF(OR(L13="COLOR PLASTISOL",L13="BASE BLANCA"),L6/4,IF(OR(L12="COLOR PLASTISOL",L12="BASE BLANCA"),L6/3,L6/2)))</f>
        <v>0</v>
      </c>
      <c r="E20" s="4">
        <f>FICHA!A31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FICHA!B32</f>
        <v>0</v>
      </c>
      <c r="D21" s="84">
        <f>IF(L12="N/A",0,IF(OR(L13="COLOR PLASTISOL",L13="BASE BLANCA"),L6/4,L6/3))</f>
        <v>0</v>
      </c>
      <c r="E21" s="4">
        <f>FICHA!A32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FICHA!B33</f>
        <v>0</v>
      </c>
      <c r="D22" s="84">
        <f>IF(L13="N/A",0,L6/4)</f>
        <v>0</v>
      </c>
      <c r="E22" s="4">
        <f>FICHA!A33</f>
        <v>0</v>
      </c>
      <c r="F22" s="83">
        <f>IFERROR(VLOOKUP(E22,'COSTOS '!$B$2:$C$14,2,0),0)</f>
        <v>0</v>
      </c>
      <c r="K22" s="5"/>
    </row>
    <row r="23" spans="2:11" ht="16">
      <c r="B23" s="85"/>
      <c r="C23" s="81" t="s">
        <v>183</v>
      </c>
    </row>
    <row r="24" spans="2:11" ht="17" customHeight="1">
      <c r="B24" s="86" t="s">
        <v>175</v>
      </c>
      <c r="C24" s="87">
        <f>IF(FICHA!K7="SI",'COSTOS '!C36,0)</f>
        <v>0</v>
      </c>
    </row>
    <row r="25" spans="2:11" ht="17" customHeight="1">
      <c r="B25" s="86" t="s">
        <v>279</v>
      </c>
      <c r="C25" s="87"/>
    </row>
    <row r="26" spans="2:11" ht="17" customHeight="1">
      <c r="B26" s="86" t="s">
        <v>182</v>
      </c>
      <c r="C26" s="87">
        <f>IF(FICHA!B8="SI",'COSTOS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>
        <f>IFERROR((+E40/C8),"")</f>
        <v>4.868710000000001</v>
      </c>
    </row>
    <row r="30" spans="2:11" ht="20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20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20">
      <c r="B32" s="93" t="s">
        <v>157</v>
      </c>
      <c r="C32" s="98"/>
      <c r="D32" s="99">
        <f>FICHA!H8</f>
        <v>1</v>
      </c>
      <c r="E32" s="94"/>
      <c r="F32" s="71"/>
      <c r="G32" s="71"/>
      <c r="H32" s="97"/>
    </row>
    <row r="33" spans="2:9" ht="20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20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35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20">
      <c r="B36" s="104" t="s">
        <v>160</v>
      </c>
      <c r="C36" s="104"/>
      <c r="D36" s="105"/>
      <c r="E36" s="106">
        <f>IFERROR(+((D33*D30*D31*(1+D34))/D35)*C8*D32,"")</f>
        <v>460.15200000000004</v>
      </c>
      <c r="F36" s="107"/>
      <c r="G36" s="71"/>
      <c r="H36" s="71"/>
    </row>
    <row r="37" spans="2:9" ht="20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20">
      <c r="B39" s="104" t="s">
        <v>162</v>
      </c>
      <c r="C39" s="104"/>
      <c r="D39" s="105"/>
      <c r="E39" s="106">
        <f>IFERROR(+(D30*D31*D32)*D38/100*D37/1000,"")</f>
        <v>1000.4610000000001</v>
      </c>
      <c r="F39" s="107"/>
      <c r="G39" s="96"/>
      <c r="H39" s="71"/>
    </row>
    <row r="40" spans="2:9" ht="20">
      <c r="B40" s="112" t="s">
        <v>163</v>
      </c>
      <c r="C40" s="113"/>
      <c r="D40" s="113"/>
      <c r="E40" s="114">
        <f>IFERROR(+E36+E39,"")</f>
        <v>1460.6130000000003</v>
      </c>
    </row>
    <row r="41" spans="2:9" ht="20">
      <c r="B41" s="71"/>
      <c r="C41" s="71"/>
      <c r="D41" s="71"/>
      <c r="E41" s="71"/>
      <c r="F41" s="71"/>
      <c r="G41" s="71"/>
      <c r="H41" s="71"/>
    </row>
    <row r="42" spans="2:9" ht="25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7">
      <c r="B44" s="123" t="str">
        <f t="shared" ref="B44:B50" si="1">E16</f>
        <v>BLOCKING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BLOCKING</v>
      </c>
      <c r="F44" s="127">
        <f t="shared" ref="F44:F50" si="4">+F16</f>
        <v>48900</v>
      </c>
      <c r="G44" s="128">
        <v>0.6</v>
      </c>
      <c r="H44" s="129">
        <f>IFERROR((+G44/100)*D44*(F44/1000),0)</f>
        <v>0</v>
      </c>
    </row>
    <row r="45" spans="2:9" ht="17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7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245">
        <f>IFERROR((+G47/100)*D47*(F47/1000),"")</f>
        <v>0</v>
      </c>
    </row>
    <row r="48" spans="2:9" ht="16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19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">
      <c r="B53" s="86" t="s">
        <v>175</v>
      </c>
      <c r="C53" s="134"/>
      <c r="D53" s="135"/>
      <c r="E53" s="136"/>
      <c r="F53" s="134"/>
      <c r="G53" s="137"/>
      <c r="H53" s="138">
        <f>C24</f>
        <v>0</v>
      </c>
    </row>
    <row r="54" spans="2:8" ht="16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20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20">
      <c r="B56" s="140"/>
      <c r="C56" s="141"/>
      <c r="D56" s="141"/>
      <c r="E56" s="141"/>
      <c r="F56" s="140"/>
      <c r="G56" s="140"/>
      <c r="H56" s="140"/>
    </row>
    <row r="57" spans="2:8" ht="37">
      <c r="B57" s="142" t="s">
        <v>169</v>
      </c>
      <c r="C57" s="143"/>
      <c r="D57" s="143"/>
      <c r="E57" s="143"/>
      <c r="F57" s="144"/>
      <c r="G57" s="145"/>
      <c r="H57" s="146">
        <f>SUM(H42,H29)</f>
        <v>4.868710000000001</v>
      </c>
    </row>
    <row r="62" spans="2:8" ht="23">
      <c r="B62" s="393" t="s">
        <v>194</v>
      </c>
      <c r="C62" s="393"/>
      <c r="D62" s="393"/>
    </row>
    <row r="63" spans="2:8">
      <c r="B63" s="147" t="s">
        <v>130</v>
      </c>
      <c r="C63" s="147" t="s">
        <v>131</v>
      </c>
      <c r="D63" s="147" t="s">
        <v>170</v>
      </c>
      <c r="G63" s="242"/>
    </row>
    <row r="64" spans="2:8">
      <c r="B64" s="148" t="s">
        <v>132</v>
      </c>
      <c r="C64" s="149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>420</v>
      </c>
      <c r="D64" s="150">
        <f>C64/$C$69</f>
        <v>0.60793026796654315</v>
      </c>
      <c r="G64" s="249"/>
    </row>
    <row r="65" spans="2:7" ht="15">
      <c r="B65" s="151" t="s">
        <v>185</v>
      </c>
      <c r="C65" s="149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>198</v>
      </c>
      <c r="D65" s="150">
        <f t="shared" ref="D65:D67" si="7">C65/$C$69</f>
        <v>0.28659569775565608</v>
      </c>
    </row>
    <row r="66" spans="2:7">
      <c r="B66" s="148" t="s">
        <v>133</v>
      </c>
      <c r="C66" s="149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>37</v>
      </c>
      <c r="D66" s="150">
        <f t="shared" si="7"/>
        <v>5.3555761701814517E-2</v>
      </c>
    </row>
    <row r="67" spans="2:7">
      <c r="B67" s="148" t="s">
        <v>171</v>
      </c>
      <c r="C67" s="149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>31</v>
      </c>
      <c r="D67" s="150">
        <f t="shared" si="7"/>
        <v>4.4871043588006761E-2</v>
      </c>
    </row>
    <row r="68" spans="2:7">
      <c r="B68" s="152" t="s">
        <v>172</v>
      </c>
      <c r="C68" s="153">
        <f>+H57</f>
        <v>4.868710000000001</v>
      </c>
      <c r="D68" s="154">
        <f>IFERROR(C68/$C$69,"")</f>
        <v>7.0472289879794977E-3</v>
      </c>
    </row>
    <row r="69" spans="2:7" ht="23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690.86870999999996</v>
      </c>
      <c r="D69" s="157">
        <f>SUM(D64:D68)</f>
        <v>1</v>
      </c>
    </row>
    <row r="72" spans="2:7">
      <c r="E72" s="394"/>
    </row>
    <row r="73" spans="2:7">
      <c r="E73" s="394"/>
      <c r="G73" s="44"/>
    </row>
  </sheetData>
  <sheetProtection algorithmName="SHA-512" hashValue="OVahkG3f+FkCCVUvpaSbxFcBe0nFQ+yCodR1chTuWvhBV1nWJBemc3CNvrbRg11eeht0FK5dyLo91sMnceVNow==" saltValue="qlgGF65srMl/9jO7IN8p9Q==" spinCount="100000" sheet="1" objects="1" scenarios="1"/>
  <mergeCells count="4">
    <mergeCell ref="B1:H1"/>
    <mergeCell ref="B55:F55"/>
    <mergeCell ref="B62:D62"/>
    <mergeCell ref="E72:E73"/>
  </mergeCells>
  <conditionalFormatting sqref="G51">
    <cfRule type="cellIs" dxfId="7" priority="1" operator="equal">
      <formula>"VALIDAR"</formula>
    </cfRule>
    <cfRule type="cellIs" dxfId="6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3A126-363F-41CD-925B-0A98BF18FDD0}">
  <dimension ref="A2:K43"/>
  <sheetViews>
    <sheetView topLeftCell="L1" zoomScale="82" zoomScaleNormal="82" workbookViewId="0">
      <selection sqref="A1:K1048576"/>
    </sheetView>
  </sheetViews>
  <sheetFormatPr baseColWidth="10" defaultColWidth="10.83203125" defaultRowHeight="14"/>
  <cols>
    <col min="1" max="1" width="32.5" style="251" hidden="1" customWidth="1"/>
    <col min="2" max="2" width="28" style="251" hidden="1" customWidth="1"/>
    <col min="3" max="3" width="4.6640625" style="251" hidden="1" customWidth="1"/>
    <col min="4" max="4" width="29.5" style="251" hidden="1" customWidth="1"/>
    <col min="5" max="5" width="26.83203125" style="251" hidden="1" customWidth="1"/>
    <col min="6" max="6" width="5.6640625" style="251" hidden="1" customWidth="1"/>
    <col min="7" max="7" width="29.5" style="251" hidden="1" customWidth="1"/>
    <col min="8" max="8" width="37.5" style="251" hidden="1" customWidth="1"/>
    <col min="9" max="9" width="5.83203125" style="251" hidden="1" customWidth="1"/>
    <col min="10" max="10" width="29.5" style="251" hidden="1" customWidth="1"/>
    <col min="11" max="11" width="27.1640625" style="251" hidden="1" customWidth="1"/>
    <col min="12" max="16384" width="10.83203125" style="251"/>
  </cols>
  <sheetData>
    <row r="2" spans="1:11">
      <c r="A2" s="258" t="s">
        <v>312</v>
      </c>
      <c r="B2" s="263">
        <v>6.5</v>
      </c>
    </row>
    <row r="3" spans="1:11">
      <c r="A3" s="258" t="s">
        <v>313</v>
      </c>
      <c r="B3" s="263">
        <v>4.2</v>
      </c>
    </row>
    <row r="4" spans="1:11">
      <c r="A4" s="258" t="s">
        <v>304</v>
      </c>
      <c r="B4" s="263">
        <v>160</v>
      </c>
    </row>
    <row r="5" spans="1:11">
      <c r="A5" s="258" t="s">
        <v>314</v>
      </c>
      <c r="B5" s="263">
        <v>159</v>
      </c>
    </row>
    <row r="6" spans="1:11">
      <c r="A6" s="258" t="s">
        <v>305</v>
      </c>
      <c r="B6" s="264">
        <v>4400000</v>
      </c>
    </row>
    <row r="7" spans="1:11">
      <c r="A7" s="258" t="s">
        <v>315</v>
      </c>
      <c r="B7" s="265">
        <v>0</v>
      </c>
    </row>
    <row r="8" spans="1:11">
      <c r="A8" s="258" t="s">
        <v>316</v>
      </c>
      <c r="B8" s="263">
        <v>7700</v>
      </c>
    </row>
    <row r="10" spans="1:11">
      <c r="A10" s="395" t="s">
        <v>301</v>
      </c>
      <c r="B10" s="395"/>
      <c r="D10" s="395" t="s">
        <v>301</v>
      </c>
      <c r="E10" s="395"/>
      <c r="G10" s="395" t="s">
        <v>301</v>
      </c>
      <c r="H10" s="395"/>
      <c r="J10" s="395" t="s">
        <v>301</v>
      </c>
      <c r="K10" s="395"/>
    </row>
    <row r="11" spans="1:11">
      <c r="A11" s="252" t="s">
        <v>51</v>
      </c>
      <c r="B11" s="253" t="str">
        <f>IF(FICHA!I4="SUBLIMACION LOCALIZADA",FICHA!I4,"")</f>
        <v/>
      </c>
      <c r="D11" s="252" t="s">
        <v>51</v>
      </c>
      <c r="E11" s="253" t="str">
        <f>IF(FICHA!I4="SUBLIMACION LOCALIZADA",FICHA!I37,"")</f>
        <v/>
      </c>
      <c r="G11" s="252" t="s">
        <v>51</v>
      </c>
      <c r="H11" s="253" t="str">
        <f>IF(FICHA!I4="SUBLIMACION LOCALIZADA",FICHA!I71,"")</f>
        <v/>
      </c>
      <c r="J11" s="252" t="s">
        <v>51</v>
      </c>
      <c r="K11" s="253" t="str">
        <f>IF(FICHA!I4="SUBLIMACION LOCALIZADA",FICHA!I105,"")</f>
        <v/>
      </c>
    </row>
    <row r="12" spans="1:11">
      <c r="A12" s="254" t="s">
        <v>295</v>
      </c>
      <c r="B12" s="255" t="str">
        <f>IF(B11="SUBLIMACION LOCALIZADA",B2,"")</f>
        <v/>
      </c>
      <c r="D12" s="254" t="s">
        <v>295</v>
      </c>
      <c r="E12" s="255" t="str">
        <f>IF(E11="SUBLIMACION LOCALIZADA",B2,"")</f>
        <v/>
      </c>
      <c r="G12" s="254" t="s">
        <v>295</v>
      </c>
      <c r="H12" s="255" t="str">
        <f>IF(H11="SUBLIMACION LOCALIZADA",B2,"")</f>
        <v/>
      </c>
      <c r="J12" s="254" t="s">
        <v>295</v>
      </c>
      <c r="K12" s="255" t="str">
        <f>IF(K11="SUBLIMACION LOCALIZADA",B2,"")</f>
        <v/>
      </c>
    </row>
    <row r="13" spans="1:11">
      <c r="A13" s="252" t="s">
        <v>296</v>
      </c>
      <c r="B13" s="253" t="str">
        <f>IF(B11="","",FICHA!E11+2)</f>
        <v/>
      </c>
      <c r="D13" s="252" t="s">
        <v>296</v>
      </c>
      <c r="E13" s="253" t="str">
        <f>IF(E11="","",FICHA!E44+2)</f>
        <v/>
      </c>
      <c r="G13" s="252" t="s">
        <v>296</v>
      </c>
      <c r="H13" s="253" t="str">
        <f>IF(H11="","",FICHA!E78+2)</f>
        <v/>
      </c>
      <c r="J13" s="252" t="s">
        <v>296</v>
      </c>
      <c r="K13" s="253" t="str">
        <f>IF(K11="","",FICHA!E112+2)</f>
        <v/>
      </c>
    </row>
    <row r="14" spans="1:11">
      <c r="A14" s="252" t="s">
        <v>297</v>
      </c>
      <c r="B14" s="253" t="str">
        <f>IF(B11="","",FICHA!B11+2)</f>
        <v/>
      </c>
      <c r="D14" s="252" t="s">
        <v>297</v>
      </c>
      <c r="E14" s="253" t="str">
        <f>IF(E11="","",FICHA!B44+2)</f>
        <v/>
      </c>
      <c r="G14" s="252" t="s">
        <v>297</v>
      </c>
      <c r="H14" s="253" t="str">
        <f>IF(H11="","",FICHA!B78+2)</f>
        <v/>
      </c>
      <c r="J14" s="252" t="s">
        <v>297</v>
      </c>
      <c r="K14" s="253" t="str">
        <f>IF(K11="","",FICHA!B112+2)</f>
        <v/>
      </c>
    </row>
    <row r="15" spans="1:11">
      <c r="A15" s="252" t="s">
        <v>298</v>
      </c>
      <c r="B15" s="253" t="str">
        <f>IF(B14="","",159)</f>
        <v/>
      </c>
      <c r="D15" s="252" t="s">
        <v>298</v>
      </c>
      <c r="E15" s="253" t="str">
        <f>IF(E14="","",159)</f>
        <v/>
      </c>
      <c r="G15" s="252" t="s">
        <v>298</v>
      </c>
      <c r="H15" s="253" t="str">
        <f>IF(H14="","",159)</f>
        <v/>
      </c>
      <c r="J15" s="252" t="s">
        <v>298</v>
      </c>
      <c r="K15" s="253" t="str">
        <f>IF(K14="","",159)</f>
        <v/>
      </c>
    </row>
    <row r="16" spans="1:11">
      <c r="A16" s="252" t="s">
        <v>219</v>
      </c>
      <c r="B16" s="253" t="str">
        <f>IFERROR(ROUNDDOWN(B15/B14,0),"")</f>
        <v/>
      </c>
      <c r="D16" s="252" t="s">
        <v>219</v>
      </c>
      <c r="E16" s="253" t="str">
        <f>IFERROR(ROUNDDOWN(E15/E14,0),"")</f>
        <v/>
      </c>
      <c r="G16" s="252" t="s">
        <v>219</v>
      </c>
      <c r="H16" s="253" t="str">
        <f>IFERROR(ROUNDDOWN(H15/H14,0),"")</f>
        <v/>
      </c>
      <c r="J16" s="252" t="s">
        <v>219</v>
      </c>
      <c r="K16" s="253" t="str">
        <f>IFERROR(ROUNDDOWN(K15/K14,0),"")</f>
        <v/>
      </c>
    </row>
    <row r="17" spans="1:11">
      <c r="A17" s="252" t="s">
        <v>299</v>
      </c>
      <c r="B17" s="253" t="str">
        <f>IFERROR(B13/B16,"")</f>
        <v/>
      </c>
      <c r="D17" s="252" t="s">
        <v>299</v>
      </c>
      <c r="E17" s="253" t="str">
        <f>IFERROR(E13/E16,"")</f>
        <v/>
      </c>
      <c r="G17" s="252" t="s">
        <v>299</v>
      </c>
      <c r="H17" s="253" t="str">
        <f>IFERROR(H13/H16,"")</f>
        <v/>
      </c>
      <c r="J17" s="252" t="s">
        <v>299</v>
      </c>
      <c r="K17" s="253" t="str">
        <f>IFERROR(K13/K16,"")</f>
        <v/>
      </c>
    </row>
    <row r="18" spans="1:11">
      <c r="A18" s="259" t="s">
        <v>300</v>
      </c>
      <c r="B18" s="260" t="str">
        <f>IFERROR(B12*B17,"")</f>
        <v/>
      </c>
      <c r="D18" s="259" t="s">
        <v>300</v>
      </c>
      <c r="E18" s="260" t="str">
        <f>IFERROR(E12*E17,"")</f>
        <v/>
      </c>
      <c r="G18" s="259" t="s">
        <v>300</v>
      </c>
      <c r="H18" s="260" t="str">
        <f>IFERROR(H12*H17,"")</f>
        <v/>
      </c>
      <c r="J18" s="259" t="s">
        <v>300</v>
      </c>
      <c r="K18" s="260" t="str">
        <f>IFERROR(K12*K17,"")</f>
        <v/>
      </c>
    </row>
    <row r="20" spans="1:11">
      <c r="A20" s="395" t="s">
        <v>303</v>
      </c>
      <c r="B20" s="395"/>
      <c r="D20" s="395" t="s">
        <v>303</v>
      </c>
      <c r="E20" s="395"/>
      <c r="G20" s="395" t="s">
        <v>303</v>
      </c>
      <c r="H20" s="395"/>
      <c r="J20" s="395" t="s">
        <v>303</v>
      </c>
      <c r="K20" s="395"/>
    </row>
    <row r="21" spans="1:11">
      <c r="A21" s="252" t="s">
        <v>51</v>
      </c>
      <c r="B21" s="253" t="str">
        <f>IF(FICHA!I4="SUBLIMACION LOCALIZADA",FICHA!I4,"")</f>
        <v/>
      </c>
      <c r="D21" s="252" t="s">
        <v>51</v>
      </c>
      <c r="E21" s="253" t="str">
        <f>IF(FICHA!I4="SUBLIMACION LOCALIZADA",FICHA!I37,"")</f>
        <v/>
      </c>
      <c r="G21" s="252" t="s">
        <v>51</v>
      </c>
      <c r="H21" s="253" t="str">
        <f>IF(FICHA!O4="SUBLIMACION LOCALIZADA",FICHA!O4,"")</f>
        <v/>
      </c>
      <c r="J21" s="252" t="s">
        <v>51</v>
      </c>
      <c r="K21" s="253" t="str">
        <f>IF(FICHA!R4="SUBLIMACION LOCALIZADA",FICHA!R4,"")</f>
        <v/>
      </c>
    </row>
    <row r="22" spans="1:11">
      <c r="A22" s="254" t="s">
        <v>295</v>
      </c>
      <c r="B22" s="255" t="str">
        <f>IF(B11="SUBLIMACION LOCALIZADA",B3,"")</f>
        <v/>
      </c>
      <c r="D22" s="254" t="s">
        <v>295</v>
      </c>
      <c r="E22" s="255" t="str">
        <f>IF(E11="SUBLIMACION LOCALIZADA",B3,"")</f>
        <v/>
      </c>
      <c r="G22" s="254" t="s">
        <v>295</v>
      </c>
      <c r="H22" s="255" t="str">
        <f>IF(H11="SUBLIMACION LOCALIZADA",B3,"")</f>
        <v/>
      </c>
      <c r="J22" s="254" t="s">
        <v>295</v>
      </c>
      <c r="K22" s="255" t="str">
        <f>IF(K11="SUBLIMACION LOCALIZADA",B3,"")</f>
        <v/>
      </c>
    </row>
    <row r="23" spans="1:11">
      <c r="A23" s="252" t="s">
        <v>296</v>
      </c>
      <c r="B23" s="253" t="str">
        <f>IF(B11="","",FICHA!E11+2)</f>
        <v/>
      </c>
      <c r="D23" s="252" t="s">
        <v>296</v>
      </c>
      <c r="E23" s="253" t="str">
        <f>IF(E11="","",FICHA!E44+2)</f>
        <v/>
      </c>
      <c r="G23" s="252" t="s">
        <v>296</v>
      </c>
      <c r="H23" s="253" t="str">
        <f>IF(H11="","",FICHA!E78+2)</f>
        <v/>
      </c>
      <c r="J23" s="252" t="s">
        <v>296</v>
      </c>
      <c r="K23" s="253" t="str">
        <f>IF(K11="","",FICHA!E112+2)</f>
        <v/>
      </c>
    </row>
    <row r="24" spans="1:11">
      <c r="A24" s="252" t="s">
        <v>297</v>
      </c>
      <c r="B24" s="253" t="str">
        <f>IF(B11="","",FICHA!B11+2)</f>
        <v/>
      </c>
      <c r="D24" s="252" t="s">
        <v>297</v>
      </c>
      <c r="E24" s="253" t="str">
        <f>IF(E11="","",FICHA!B44+2)</f>
        <v/>
      </c>
      <c r="G24" s="252" t="s">
        <v>297</v>
      </c>
      <c r="H24" s="253" t="str">
        <f>IF(H11="","",FICHA!B78+2)</f>
        <v/>
      </c>
      <c r="J24" s="252" t="s">
        <v>297</v>
      </c>
      <c r="K24" s="253" t="str">
        <f>IF(K11="","",FICHA!B112+2)</f>
        <v/>
      </c>
    </row>
    <row r="25" spans="1:11">
      <c r="A25" s="252" t="s">
        <v>298</v>
      </c>
      <c r="B25" s="253" t="str">
        <f>IF(B24="","",159)</f>
        <v/>
      </c>
      <c r="D25" s="252" t="s">
        <v>298</v>
      </c>
      <c r="E25" s="253" t="str">
        <f>IF(E24="","",159)</f>
        <v/>
      </c>
      <c r="G25" s="252" t="s">
        <v>298</v>
      </c>
      <c r="H25" s="253" t="str">
        <f>IF(H24="","",159)</f>
        <v/>
      </c>
      <c r="J25" s="252" t="s">
        <v>298</v>
      </c>
      <c r="K25" s="253" t="str">
        <f>IF(K24="","",159)</f>
        <v/>
      </c>
    </row>
    <row r="26" spans="1:11">
      <c r="A26" s="252" t="s">
        <v>219</v>
      </c>
      <c r="B26" s="253" t="str">
        <f>IFERROR(ROUNDDOWN(B25/B24,0),"")</f>
        <v/>
      </c>
      <c r="D26" s="252" t="s">
        <v>219</v>
      </c>
      <c r="E26" s="253" t="str">
        <f>IFERROR(ROUNDDOWN(E25/E24,0),"")</f>
        <v/>
      </c>
      <c r="G26" s="252" t="s">
        <v>219</v>
      </c>
      <c r="H26" s="253" t="str">
        <f>IFERROR(ROUNDDOWN(H25/H24,0),"")</f>
        <v/>
      </c>
      <c r="J26" s="252" t="s">
        <v>219</v>
      </c>
      <c r="K26" s="253" t="str">
        <f>IFERROR(ROUNDDOWN(K25/K24,0),"")</f>
        <v/>
      </c>
    </row>
    <row r="27" spans="1:11">
      <c r="A27" s="252" t="s">
        <v>299</v>
      </c>
      <c r="B27" s="253" t="str">
        <f>IFERROR(B23/B26,"")</f>
        <v/>
      </c>
      <c r="D27" s="252" t="s">
        <v>299</v>
      </c>
      <c r="E27" s="253" t="str">
        <f>IFERROR(E23/E26,"")</f>
        <v/>
      </c>
      <c r="G27" s="252" t="s">
        <v>299</v>
      </c>
      <c r="H27" s="253" t="str">
        <f>IFERROR(H23/H26,"")</f>
        <v/>
      </c>
      <c r="J27" s="252" t="s">
        <v>299</v>
      </c>
      <c r="K27" s="253" t="str">
        <f>IFERROR(K23/K26,"")</f>
        <v/>
      </c>
    </row>
    <row r="28" spans="1:11">
      <c r="A28" s="259" t="s">
        <v>302</v>
      </c>
      <c r="B28" s="260" t="str">
        <f>IFERROR(B22*B27,"")</f>
        <v/>
      </c>
      <c r="D28" s="259" t="s">
        <v>302</v>
      </c>
      <c r="E28" s="260" t="str">
        <f>IFERROR(E22*E27,"")</f>
        <v/>
      </c>
      <c r="G28" s="259" t="s">
        <v>302</v>
      </c>
      <c r="H28" s="260" t="str">
        <f>IFERROR(H22*H27,"")</f>
        <v/>
      </c>
      <c r="J28" s="259" t="s">
        <v>302</v>
      </c>
      <c r="K28" s="260" t="str">
        <f>IFERROR(K22*K27,"")</f>
        <v/>
      </c>
    </row>
    <row r="30" spans="1:11">
      <c r="A30" s="254" t="s">
        <v>304</v>
      </c>
      <c r="B30" s="256" t="str">
        <f>IF(B11="SUBLIMACION LOCALIZADA",B4,"")</f>
        <v/>
      </c>
      <c r="D30" s="254" t="s">
        <v>304</v>
      </c>
      <c r="E30" s="256" t="str">
        <f>IF(E11="SUBLIMACION LOCALIZADA",B4,"")</f>
        <v/>
      </c>
      <c r="G30" s="254" t="s">
        <v>304</v>
      </c>
      <c r="H30" s="256" t="str">
        <f>IF(H11="SUBLIMACION LOCALIZADA",B4,"")</f>
        <v/>
      </c>
      <c r="J30" s="254" t="s">
        <v>304</v>
      </c>
      <c r="K30" s="256" t="str">
        <f>IF(K11="SUBLIMACION LOCALIZADA",B4,"")</f>
        <v/>
      </c>
    </row>
    <row r="33" spans="1:11">
      <c r="A33" s="252" t="s">
        <v>305</v>
      </c>
      <c r="B33" s="257">
        <f>($B$6*$B$7)+$B$6</f>
        <v>4400000</v>
      </c>
      <c r="D33" s="252" t="s">
        <v>305</v>
      </c>
      <c r="E33" s="257">
        <f>($B$6*$B$7)+$B$6</f>
        <v>4400000</v>
      </c>
      <c r="G33" s="252" t="s">
        <v>305</v>
      </c>
      <c r="H33" s="257">
        <f>($B$6*$B$7)+$B$6</f>
        <v>4400000</v>
      </c>
      <c r="J33" s="252" t="s">
        <v>305</v>
      </c>
      <c r="K33" s="257">
        <f>($B$6*$B$7)+$B$6</f>
        <v>4400000</v>
      </c>
    </row>
    <row r="34" spans="1:11">
      <c r="A34" s="252" t="s">
        <v>311</v>
      </c>
      <c r="B34" s="257">
        <v>0</v>
      </c>
      <c r="D34" s="252" t="s">
        <v>311</v>
      </c>
      <c r="E34" s="257">
        <v>0</v>
      </c>
      <c r="G34" s="252" t="s">
        <v>311</v>
      </c>
      <c r="H34" s="257">
        <v>0</v>
      </c>
      <c r="J34" s="252" t="s">
        <v>311</v>
      </c>
      <c r="K34" s="257">
        <v>0</v>
      </c>
    </row>
    <row r="35" spans="1:11">
      <c r="A35" s="252" t="s">
        <v>306</v>
      </c>
      <c r="B35" s="257">
        <v>0</v>
      </c>
      <c r="D35" s="252" t="s">
        <v>306</v>
      </c>
      <c r="E35" s="257">
        <v>0</v>
      </c>
      <c r="G35" s="252" t="s">
        <v>306</v>
      </c>
      <c r="H35" s="257">
        <v>0</v>
      </c>
      <c r="J35" s="252" t="s">
        <v>306</v>
      </c>
      <c r="K35" s="257">
        <v>0</v>
      </c>
    </row>
    <row r="36" spans="1:11">
      <c r="A36" s="252" t="s">
        <v>307</v>
      </c>
      <c r="B36" s="257">
        <v>0</v>
      </c>
      <c r="D36" s="252" t="s">
        <v>307</v>
      </c>
      <c r="E36" s="257">
        <v>0</v>
      </c>
      <c r="G36" s="252" t="s">
        <v>307</v>
      </c>
      <c r="H36" s="257">
        <v>0</v>
      </c>
      <c r="J36" s="252" t="s">
        <v>307</v>
      </c>
      <c r="K36" s="257">
        <v>0</v>
      </c>
    </row>
    <row r="37" spans="1:11">
      <c r="A37" s="252" t="s">
        <v>308</v>
      </c>
      <c r="B37" s="257">
        <f>SUM(B33:B36)</f>
        <v>4400000</v>
      </c>
      <c r="D37" s="252" t="s">
        <v>308</v>
      </c>
      <c r="E37" s="257">
        <f>SUM(E33:E36)</f>
        <v>4400000</v>
      </c>
      <c r="G37" s="252" t="s">
        <v>308</v>
      </c>
      <c r="H37" s="257">
        <f>SUM(H33:H36)</f>
        <v>4400000</v>
      </c>
      <c r="J37" s="252" t="s">
        <v>308</v>
      </c>
      <c r="K37" s="257">
        <f>SUM(K33:K36)</f>
        <v>4400000</v>
      </c>
    </row>
    <row r="38" spans="1:11">
      <c r="A38" s="252" t="s">
        <v>310</v>
      </c>
      <c r="B38" s="252">
        <f>B8</f>
        <v>7700</v>
      </c>
      <c r="D38" s="252" t="s">
        <v>310</v>
      </c>
      <c r="E38" s="252">
        <f>B8</f>
        <v>7700</v>
      </c>
      <c r="G38" s="252" t="s">
        <v>310</v>
      </c>
      <c r="H38" s="252">
        <f>B8</f>
        <v>7700</v>
      </c>
      <c r="J38" s="252" t="s">
        <v>310</v>
      </c>
      <c r="K38" s="252">
        <f>B8</f>
        <v>7700</v>
      </c>
    </row>
    <row r="39" spans="1:11">
      <c r="A39" s="259" t="s">
        <v>309</v>
      </c>
      <c r="B39" s="261">
        <f>B37/B38</f>
        <v>571.42857142857144</v>
      </c>
      <c r="D39" s="259" t="s">
        <v>309</v>
      </c>
      <c r="E39" s="261">
        <f>E37/E38</f>
        <v>571.42857142857144</v>
      </c>
      <c r="G39" s="259" t="s">
        <v>309</v>
      </c>
      <c r="H39" s="261">
        <f>H37/H38</f>
        <v>571.42857142857144</v>
      </c>
      <c r="J39" s="259" t="s">
        <v>309</v>
      </c>
      <c r="K39" s="261">
        <f>K37/K38</f>
        <v>571.42857142857144</v>
      </c>
    </row>
    <row r="41" spans="1:11">
      <c r="A41" s="252" t="s">
        <v>219</v>
      </c>
      <c r="B41" s="252">
        <f>FICHA!F7</f>
        <v>0</v>
      </c>
      <c r="D41" s="252" t="s">
        <v>219</v>
      </c>
      <c r="E41" s="252">
        <f>FICHA!F40</f>
        <v>0</v>
      </c>
      <c r="G41" s="252" t="s">
        <v>219</v>
      </c>
      <c r="H41" s="252">
        <f>FICHA!F74</f>
        <v>0</v>
      </c>
      <c r="J41" s="252" t="s">
        <v>219</v>
      </c>
      <c r="K41" s="252">
        <f>FICHA!F108</f>
        <v>0</v>
      </c>
    </row>
    <row r="42" spans="1:11">
      <c r="A42" s="276" t="s">
        <v>317</v>
      </c>
      <c r="B42" s="277" t="str">
        <f>IFERROR((B18+B28+B30+B39)*B41,"")</f>
        <v/>
      </c>
      <c r="D42" s="276" t="s">
        <v>317</v>
      </c>
      <c r="E42" s="277" t="str">
        <f>IFERROR((E18+E28+E30+E39)*E41,"")</f>
        <v/>
      </c>
      <c r="G42" s="276" t="s">
        <v>317</v>
      </c>
      <c r="H42" s="277" t="str">
        <f>IFERROR((H18+H28+H30+H39)*H41,"")</f>
        <v/>
      </c>
      <c r="J42" s="276" t="s">
        <v>317</v>
      </c>
      <c r="K42" s="277" t="str">
        <f>IFERROR((K18+K28+K30+K39)*K41,"")</f>
        <v/>
      </c>
    </row>
    <row r="43" spans="1:11">
      <c r="B43" s="262"/>
    </row>
  </sheetData>
  <sheetProtection algorithmName="SHA-512" hashValue="LSZhIhksrWdHzlaMkMwQJGg1DDDoc+shn/02ZRljZ4iZx7iR4c358dtGHE00f26L3+QXuzgnW0bzV4+np9z3dw==" saltValue="PWpcAG+1kNXZJ14ZfO+lDA==" spinCount="100000" sheet="1" objects="1" scenarios="1"/>
  <mergeCells count="8">
    <mergeCell ref="J10:K10"/>
    <mergeCell ref="J20:K20"/>
    <mergeCell ref="A10:B10"/>
    <mergeCell ref="A20:B20"/>
    <mergeCell ref="D10:E10"/>
    <mergeCell ref="D20:E20"/>
    <mergeCell ref="G10:H10"/>
    <mergeCell ref="G20:H20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1F13E-C3FB-4672-B69F-A09AB2E03D33}">
  <sheetPr codeName="Hoja11"/>
  <dimension ref="A1:M69"/>
  <sheetViews>
    <sheetView topLeftCell="M5" zoomScale="82" zoomScaleNormal="82" workbookViewId="0">
      <selection activeCell="U42" sqref="U42"/>
    </sheetView>
  </sheetViews>
  <sheetFormatPr baseColWidth="10" defaultColWidth="10.83203125" defaultRowHeight="14"/>
  <cols>
    <col min="1" max="1" width="13.5" style="1" hidden="1" customWidth="1"/>
    <col min="2" max="2" width="39.83203125" style="1" hidden="1" customWidth="1"/>
    <col min="3" max="3" width="21.5" style="1" hidden="1" customWidth="1"/>
    <col min="4" max="4" width="24.5" style="1" hidden="1" customWidth="1"/>
    <col min="5" max="5" width="18.83203125" style="1" hidden="1" customWidth="1"/>
    <col min="6" max="6" width="15.5" style="1" hidden="1" customWidth="1"/>
    <col min="7" max="7" width="22.83203125" style="1" hidden="1" customWidth="1"/>
    <col min="8" max="8" width="24.5" style="1" hidden="1" customWidth="1"/>
    <col min="9" max="9" width="12.6640625" style="1" hidden="1" customWidth="1"/>
    <col min="10" max="11" width="10.83203125" style="1" hidden="1" customWidth="1"/>
    <col min="12" max="12" width="20.5" style="1" hidden="1" customWidth="1"/>
    <col min="13" max="14" width="10.83203125" style="1" customWidth="1"/>
    <col min="15" max="16384" width="10.83203125" style="1"/>
  </cols>
  <sheetData>
    <row r="1" spans="2:13" ht="24">
      <c r="B1" s="391" t="s">
        <v>135</v>
      </c>
      <c r="C1" s="391"/>
      <c r="D1" s="391"/>
      <c r="E1" s="391"/>
      <c r="F1" s="391"/>
      <c r="G1" s="391"/>
      <c r="H1" s="391"/>
    </row>
    <row r="2" spans="2:13" ht="20">
      <c r="B2" s="67" t="s">
        <v>136</v>
      </c>
      <c r="C2" s="68">
        <f>FICHA!B36</f>
        <v>0</v>
      </c>
      <c r="D2" s="69" t="s">
        <v>137</v>
      </c>
      <c r="E2" s="70">
        <f>FICHA!E36</f>
        <v>0</v>
      </c>
      <c r="F2" s="69" t="s">
        <v>138</v>
      </c>
      <c r="G2" s="70">
        <f>FICHA!I36</f>
        <v>0</v>
      </c>
      <c r="H2" s="71"/>
      <c r="I2" s="71"/>
    </row>
    <row r="3" spans="2:13" ht="20">
      <c r="B3" s="69" t="s">
        <v>139</v>
      </c>
      <c r="C3" s="72">
        <f>FICHA!B56</f>
        <v>0</v>
      </c>
      <c r="D3" s="73"/>
      <c r="E3" s="71"/>
      <c r="F3" s="71"/>
      <c r="G3" s="71"/>
      <c r="H3" s="71"/>
      <c r="I3" s="71"/>
    </row>
    <row r="4" spans="2:13" ht="20">
      <c r="B4" s="69" t="s">
        <v>140</v>
      </c>
      <c r="C4" s="72">
        <f>FICHA!B55</f>
        <v>0</v>
      </c>
      <c r="D4" s="74"/>
      <c r="E4" s="71"/>
      <c r="F4" s="71"/>
      <c r="G4" s="71"/>
      <c r="H4" s="71"/>
      <c r="I4" s="71"/>
      <c r="M4" s="5"/>
    </row>
    <row r="5" spans="2:13" ht="20">
      <c r="B5" s="69" t="s">
        <v>141</v>
      </c>
      <c r="C5" s="72" t="str">
        <f>FICHA!H41</f>
        <v/>
      </c>
      <c r="D5" s="73"/>
      <c r="E5" s="71"/>
      <c r="F5" s="71"/>
      <c r="G5" s="71"/>
      <c r="J5" s="75"/>
      <c r="M5" s="5"/>
    </row>
    <row r="6" spans="2:13" ht="20">
      <c r="B6" s="69" t="s">
        <v>142</v>
      </c>
      <c r="C6" s="72" t="str">
        <f>FICHA!E41</f>
        <v/>
      </c>
      <c r="D6" s="73"/>
      <c r="E6" s="71"/>
      <c r="F6" s="71"/>
      <c r="G6" s="71"/>
      <c r="L6" s="76">
        <f>$C$3*$C$4*$C$7</f>
        <v>0</v>
      </c>
      <c r="M6" s="5"/>
    </row>
    <row r="7" spans="2:13" ht="20">
      <c r="B7" s="69" t="s">
        <v>143</v>
      </c>
      <c r="C7" s="77">
        <f>FICHA!I40</f>
        <v>0</v>
      </c>
      <c r="D7" s="73"/>
      <c r="E7" s="71"/>
      <c r="F7" s="71"/>
      <c r="G7" s="71"/>
      <c r="L7" s="5" t="str">
        <f>IF(FICHA!A59="","N/A",FICHA!A59)</f>
        <v>N/A</v>
      </c>
      <c r="M7" s="5"/>
    </row>
    <row r="8" spans="2:13" ht="20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IF(FICHA!A60="","N/A",FICHA!A60)</f>
        <v>N/A</v>
      </c>
      <c r="M8" s="5"/>
    </row>
    <row r="9" spans="2:13" ht="20">
      <c r="B9" s="69" t="s">
        <v>150</v>
      </c>
      <c r="C9" s="72" t="str">
        <f>FICHA!I39</f>
        <v/>
      </c>
      <c r="D9" s="73"/>
      <c r="E9" s="71"/>
      <c r="F9" s="71"/>
      <c r="G9" s="71"/>
      <c r="L9" s="5" t="str">
        <f>IF(FICHA!A61="","N/A",FICHA!A61)</f>
        <v>N/A</v>
      </c>
      <c r="M9" s="5"/>
    </row>
    <row r="10" spans="2:13" ht="17.5" customHeight="1">
      <c r="B10" s="69" t="s">
        <v>145</v>
      </c>
      <c r="C10" s="72">
        <f>FICHA!K40</f>
        <v>0</v>
      </c>
      <c r="D10" s="73"/>
      <c r="E10" s="71"/>
      <c r="F10" s="71"/>
      <c r="G10" s="71"/>
      <c r="H10" s="42"/>
      <c r="I10" s="42"/>
      <c r="L10" s="5" t="str">
        <f>IF(FICHA!B64="BLANCO","BASE BLANCA",IF(FICHA!B64&gt;=1,"COLOR PLASTISOL",IF(FICHA!B64="NEGRO","COLOR PLASTISOL",IF(FICHA!B64="","N/A",FICHA!B64))))</f>
        <v>N/A</v>
      </c>
      <c r="M10" s="5"/>
    </row>
    <row r="11" spans="2:13" ht="20">
      <c r="B11" s="69" t="s">
        <v>178</v>
      </c>
      <c r="C11" s="72">
        <f>FICHA!B41</f>
        <v>0</v>
      </c>
      <c r="D11" s="73"/>
      <c r="E11" s="71"/>
      <c r="F11" s="71"/>
      <c r="G11" s="71"/>
      <c r="H11" s="42"/>
      <c r="I11" s="42"/>
      <c r="L11" s="5" t="str">
        <f>IF(FICHA!B65="BLANCO","BASE BLANCA",IF(FICHA!B65&gt;=1,"COLOR PLASTISOL",IF(FICHA!B65="NEGRO","COLOR PLASTISOL",IF(FICHA!B65="","N/A",FICHA!B65))))</f>
        <v>N/A</v>
      </c>
    </row>
    <row r="12" spans="2:13" ht="20">
      <c r="B12" s="230" t="s">
        <v>280</v>
      </c>
      <c r="C12" s="231">
        <f>FICHA!J38</f>
        <v>0</v>
      </c>
      <c r="D12" s="73"/>
      <c r="E12" s="71"/>
      <c r="F12" s="71"/>
      <c r="G12" s="71"/>
      <c r="H12" s="42"/>
      <c r="I12" s="42"/>
      <c r="L12" s="5" t="str">
        <f>IF(FICHA!B66="BLANCO","BASE BLANCA",IF(FICHA!B66&gt;=1,"COLOR PLASTISOL",IF(FICHA!B66="NEGRO","COLOR PLASTISOL",IF(FICHA!B66="","N/A",FICHA!B66))))</f>
        <v>N/A</v>
      </c>
    </row>
    <row r="13" spans="2:13" ht="20">
      <c r="B13" s="78"/>
      <c r="C13" s="79"/>
      <c r="D13" s="73"/>
      <c r="E13" s="71"/>
      <c r="F13" s="71"/>
      <c r="G13" s="71"/>
      <c r="H13" s="42"/>
      <c r="I13" s="42"/>
      <c r="L13" s="5" t="str">
        <f>IF(FICHA!B67="BLANCO","BASE BLANCA",IF(FICHA!B67&gt;=1,"COLOR PLASTISOL",IF(FICHA!B67="NEGRO","COLOR PLASTISOL",IF(FICHA!B67="","N/A",FICHA!B67))))</f>
        <v>N/A</v>
      </c>
    </row>
    <row r="14" spans="2:13" ht="20">
      <c r="B14" s="78"/>
      <c r="C14" s="80"/>
      <c r="D14" s="73"/>
      <c r="E14" s="71"/>
      <c r="F14" s="71"/>
      <c r="G14" s="71"/>
      <c r="H14" s="42"/>
      <c r="I14" s="42"/>
    </row>
    <row r="15" spans="2:13" ht="19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IF(FICHA!A59="","N/A",FICHA!A59)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IF(FICHA!A60="","N/A",FICHA!A60)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IF(FICHA!A61="","N/A",FICHA!A61)</f>
        <v>N/A</v>
      </c>
      <c r="F18" s="83">
        <f>VLOOKUP(E18,'COSTOS '!$B$2:$C$16,2,0)</f>
        <v>0</v>
      </c>
    </row>
    <row r="19" spans="2:11">
      <c r="B19" s="3"/>
      <c r="C19" s="4">
        <f>FICHA!B64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FICHA!A64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FICHA!B65</f>
        <v>0</v>
      </c>
      <c r="D20" s="84">
        <f>IF(L11="N/A",0,IF(OR(L13="COLOR PLASTISOL",L13="BASE BLANCA"),L6/4,IF(OR(L12="COLOR PLASTISOL",L12="BASE BLANCA"),L6/3,L6/2)))</f>
        <v>0</v>
      </c>
      <c r="E20" s="4">
        <f>FICHA!A65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FICHA!B66</f>
        <v>0</v>
      </c>
      <c r="D21" s="84">
        <f>IF(L12="N/A",0,IF(OR(L13="COLOR PLASTISOL",L13="BASE BLANCA"),L6/4,L6/3))</f>
        <v>0</v>
      </c>
      <c r="E21" s="4">
        <f>FICHA!A66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FICHA!B67</f>
        <v>0</v>
      </c>
      <c r="D22" s="84">
        <f>IF(L13="N/A",0,L6/4)</f>
        <v>0</v>
      </c>
      <c r="E22" s="4">
        <f>FICHA!A67</f>
        <v>0</v>
      </c>
      <c r="F22" s="83">
        <f>IFERROR(VLOOKUP(E22,'COSTOS '!$B$2:$C$14,2,0),0)</f>
        <v>0</v>
      </c>
      <c r="K22" s="5"/>
    </row>
    <row r="23" spans="2:11" ht="16">
      <c r="B23" s="85"/>
      <c r="C23" s="81" t="s">
        <v>183</v>
      </c>
    </row>
    <row r="24" spans="2:11" ht="17" customHeight="1">
      <c r="B24" s="86" t="s">
        <v>175</v>
      </c>
      <c r="C24" s="87">
        <f>IF(FICHA!K40="SI",'COSTOS '!C36,0)</f>
        <v>0</v>
      </c>
    </row>
    <row r="25" spans="2:11" ht="17" customHeight="1">
      <c r="B25" s="86" t="s">
        <v>279</v>
      </c>
      <c r="C25" s="87"/>
    </row>
    <row r="26" spans="2:11" ht="17" customHeight="1">
      <c r="B26" s="86" t="s">
        <v>182</v>
      </c>
      <c r="C26" s="237">
        <f>IF(FICHA!B41="SI",'COSTOS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20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20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20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20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20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35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20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20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20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20">
      <c r="B40" s="112" t="s">
        <v>163</v>
      </c>
      <c r="C40" s="113"/>
      <c r="D40" s="113"/>
      <c r="E40" s="114" t="str">
        <f>IFERROR(+E36+E39,"")</f>
        <v/>
      </c>
    </row>
    <row r="41" spans="2:9" ht="20">
      <c r="B41" s="71"/>
      <c r="C41" s="71"/>
      <c r="D41" s="71"/>
      <c r="E41" s="71"/>
      <c r="F41" s="71"/>
      <c r="G41" s="71"/>
      <c r="H41" s="71"/>
    </row>
    <row r="42" spans="2:9" ht="25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7">
      <c r="B44" s="123" t="str">
        <f t="shared" ref="B44:B50" si="1">E16</f>
        <v>N/A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7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7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19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20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20">
      <c r="B56" s="140"/>
      <c r="C56" s="141"/>
      <c r="D56" s="141"/>
      <c r="E56" s="141"/>
      <c r="F56" s="140"/>
      <c r="G56" s="140"/>
      <c r="H56" s="140"/>
    </row>
    <row r="57" spans="2:8" ht="37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3">
      <c r="B62" s="393" t="s">
        <v>194</v>
      </c>
      <c r="C62" s="393"/>
      <c r="D62" s="393"/>
    </row>
    <row r="63" spans="2:8">
      <c r="B63" s="147" t="s">
        <v>130</v>
      </c>
      <c r="C63" s="147" t="s">
        <v>131</v>
      </c>
      <c r="D63" s="147" t="s">
        <v>170</v>
      </c>
    </row>
    <row r="64" spans="2:8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>
      <c r="B68" s="152" t="s">
        <v>172</v>
      </c>
      <c r="C68" s="153">
        <f>+H57</f>
        <v>0</v>
      </c>
      <c r="D68" s="154" t="str">
        <f>IFERROR(C68/$C$69,"")</f>
        <v/>
      </c>
    </row>
    <row r="69" spans="2:4" ht="23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irHt8Mmyj+oQTdvMx8Ws1G3L9MWp4++8r/05STEh6CtD80aiPGcbILWFw+3m9Nr3Um9PTg5d5qiW8GMuN3NPWQ==" saltValue="CFkEpYv+UgKNxYJYQZ9Mew==" spinCount="100000" sheet="1" objects="1" scenarios="1"/>
  <mergeCells count="3">
    <mergeCell ref="B1:H1"/>
    <mergeCell ref="B55:F55"/>
    <mergeCell ref="B62:D62"/>
  </mergeCells>
  <conditionalFormatting sqref="G51">
    <cfRule type="cellIs" dxfId="5" priority="1" operator="equal">
      <formula>"VALIDAR"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12B7B-3140-4FCE-A4EF-38D44807999A}">
  <sheetPr codeName="Hoja10"/>
  <dimension ref="A1:M69"/>
  <sheetViews>
    <sheetView topLeftCell="N1" zoomScale="82" zoomScaleNormal="82" workbookViewId="0">
      <selection activeCell="M1" sqref="A1:M1048576"/>
    </sheetView>
  </sheetViews>
  <sheetFormatPr baseColWidth="10" defaultColWidth="10.83203125" defaultRowHeight="14"/>
  <cols>
    <col min="1" max="1" width="10.83203125" style="1" hidden="1" customWidth="1"/>
    <col min="2" max="2" width="42.1640625" style="1" hidden="1" customWidth="1"/>
    <col min="3" max="3" width="25.33203125" style="1" hidden="1" customWidth="1"/>
    <col min="4" max="4" width="24.5" style="1" hidden="1" customWidth="1"/>
    <col min="5" max="5" width="18.83203125" style="1" hidden="1" customWidth="1"/>
    <col min="6" max="6" width="15.5" style="1" hidden="1" customWidth="1"/>
    <col min="7" max="7" width="22.83203125" style="1" hidden="1" customWidth="1"/>
    <col min="8" max="8" width="24.5" style="1" hidden="1" customWidth="1"/>
    <col min="9" max="9" width="12.6640625" style="1" hidden="1" customWidth="1"/>
    <col min="10" max="11" width="10.83203125" style="1" hidden="1" customWidth="1"/>
    <col min="12" max="12" width="20.5" style="1" hidden="1" customWidth="1"/>
    <col min="13" max="13" width="10.83203125" style="1" hidden="1" customWidth="1"/>
    <col min="14" max="16384" width="10.83203125" style="1"/>
  </cols>
  <sheetData>
    <row r="1" spans="2:13" ht="24">
      <c r="B1" s="391" t="s">
        <v>135</v>
      </c>
      <c r="C1" s="391"/>
      <c r="D1" s="391"/>
      <c r="E1" s="391"/>
      <c r="F1" s="391"/>
      <c r="G1" s="391"/>
      <c r="H1" s="391"/>
    </row>
    <row r="2" spans="2:13" ht="20">
      <c r="B2" s="67" t="s">
        <v>136</v>
      </c>
      <c r="C2" s="68">
        <f>FICHA!B70</f>
        <v>0</v>
      </c>
      <c r="D2" s="69" t="s">
        <v>137</v>
      </c>
      <c r="E2" s="70">
        <f>FICHA!E70</f>
        <v>0</v>
      </c>
      <c r="F2" s="69" t="s">
        <v>138</v>
      </c>
      <c r="G2" s="70">
        <f>FICHA!I70</f>
        <v>0</v>
      </c>
      <c r="H2" s="71"/>
      <c r="I2" s="71"/>
    </row>
    <row r="3" spans="2:13" ht="20">
      <c r="B3" s="69" t="s">
        <v>139</v>
      </c>
      <c r="C3" s="72">
        <f>FICHA!B90</f>
        <v>0</v>
      </c>
      <c r="D3" s="73"/>
      <c r="E3" s="71"/>
      <c r="F3" s="71"/>
      <c r="G3" s="71"/>
      <c r="H3" s="71"/>
      <c r="I3" s="71"/>
    </row>
    <row r="4" spans="2:13" ht="20">
      <c r="B4" s="69" t="s">
        <v>140</v>
      </c>
      <c r="C4" s="72">
        <f>FICHA!B89</f>
        <v>0</v>
      </c>
      <c r="D4" s="74"/>
      <c r="E4" s="71"/>
      <c r="F4" s="71"/>
      <c r="G4" s="71"/>
      <c r="H4" s="71"/>
      <c r="I4" s="71"/>
      <c r="M4" s="5"/>
    </row>
    <row r="5" spans="2:13" ht="20">
      <c r="B5" s="69" t="s">
        <v>141</v>
      </c>
      <c r="C5" s="72" t="str">
        <f>FICHA!H75</f>
        <v/>
      </c>
      <c r="D5" s="73"/>
      <c r="E5" s="71"/>
      <c r="F5" s="71"/>
      <c r="G5" s="71"/>
      <c r="J5" s="75"/>
      <c r="M5" s="5"/>
    </row>
    <row r="6" spans="2:13" ht="20">
      <c r="B6" s="69" t="s">
        <v>142</v>
      </c>
      <c r="C6" s="72" t="str">
        <f>FICHA!E75</f>
        <v/>
      </c>
      <c r="D6" s="73"/>
      <c r="E6" s="71"/>
      <c r="F6" s="71"/>
      <c r="G6" s="71"/>
      <c r="L6" s="76">
        <f>$C$3*$C$4*$C$7</f>
        <v>0</v>
      </c>
      <c r="M6" s="5"/>
    </row>
    <row r="7" spans="2:13" ht="20">
      <c r="B7" s="69" t="s">
        <v>143</v>
      </c>
      <c r="C7" s="77">
        <f>FICHA!I74</f>
        <v>0</v>
      </c>
      <c r="D7" s="73"/>
      <c r="E7" s="71"/>
      <c r="F7" s="71"/>
      <c r="G7" s="71"/>
      <c r="L7" s="5" t="str">
        <f>IF(FICHA!A93="","N/A",FICHA!A93)</f>
        <v>N/A</v>
      </c>
      <c r="M7" s="5"/>
    </row>
    <row r="8" spans="2:13" ht="20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IF(FICHA!A94="","N/A",FICHA!A94)</f>
        <v>N/A</v>
      </c>
      <c r="M8" s="5"/>
    </row>
    <row r="9" spans="2:13" ht="20">
      <c r="B9" s="69" t="s">
        <v>150</v>
      </c>
      <c r="C9" s="72" t="str">
        <f>FICHA!I73</f>
        <v/>
      </c>
      <c r="D9" s="73"/>
      <c r="E9" s="71"/>
      <c r="F9" s="71"/>
      <c r="G9" s="71"/>
      <c r="L9" s="5" t="str">
        <f>IF(FICHA!A95="","N/A",FICHA!A95)</f>
        <v>N/A</v>
      </c>
      <c r="M9" s="5"/>
    </row>
    <row r="10" spans="2:13" ht="17.5" customHeight="1">
      <c r="B10" s="69" t="s">
        <v>145</v>
      </c>
      <c r="C10" s="72">
        <f>FICHA!K74</f>
        <v>0</v>
      </c>
      <c r="D10" s="73"/>
      <c r="E10" s="71"/>
      <c r="F10" s="71"/>
      <c r="G10" s="71"/>
      <c r="H10" s="42"/>
      <c r="I10" s="42"/>
      <c r="L10" s="5" t="str">
        <f>IF(FICHA!B98="BLANCO","BASE BLANCA",IF(FICHA!B98&gt;=1,"COLOR PLASTISOL",IF(FICHA!B98="NEGRO","COLOR PLASTISOL",IF(FICHA!B98="","N/A",FICHA!B98))))</f>
        <v>N/A</v>
      </c>
      <c r="M10" s="5"/>
    </row>
    <row r="11" spans="2:13" ht="20">
      <c r="B11" s="69" t="s">
        <v>178</v>
      </c>
      <c r="C11" s="72">
        <f>FICHA!B75</f>
        <v>0</v>
      </c>
      <c r="D11" s="73"/>
      <c r="E11" s="71"/>
      <c r="F11" s="71"/>
      <c r="G11" s="71"/>
      <c r="H11" s="42"/>
      <c r="I11" s="42"/>
      <c r="L11" s="5" t="str">
        <f>IF(FICHA!B99="BLANCO","BASE BLANCA",IF(FICHA!B99&gt;=1,"COLOR PLASTISOL",IF(FICHA!B99="NEGRO","COLOR PLASTISOL",IF(FICHA!B99="","N/A",FICHA!B99))))</f>
        <v>N/A</v>
      </c>
    </row>
    <row r="12" spans="2:13" ht="20">
      <c r="B12" s="230" t="s">
        <v>280</v>
      </c>
      <c r="C12" s="231">
        <f>FICHA!J72</f>
        <v>0</v>
      </c>
      <c r="D12" s="73"/>
      <c r="E12" s="71"/>
      <c r="F12" s="71"/>
      <c r="G12" s="71"/>
      <c r="H12" s="42"/>
      <c r="I12" s="42"/>
      <c r="L12" s="5" t="str">
        <f>IF(FICHA!B100="BLANCO","BASE BLANCA",IF(FICHA!B100&gt;=1,"COLOR PLASTISOL",IF(FICHA!B100="NEGRO","COLOR PLASTISOL",IF(FICHA!B100="","N/A",FICHA!B100))))</f>
        <v>N/A</v>
      </c>
    </row>
    <row r="13" spans="2:13" ht="20">
      <c r="B13" s="78"/>
      <c r="C13" s="79"/>
      <c r="D13" s="73"/>
      <c r="E13" s="71"/>
      <c r="F13" s="71"/>
      <c r="G13" s="71"/>
      <c r="H13" s="42"/>
      <c r="I13" s="42"/>
      <c r="L13" s="5" t="str">
        <f>IF(FICHA!B101="BLANCO","BASE BLANCA",IF(FICHA!B101&gt;=1,"COLOR PLASTISOL",IF(FICHA!B101="NEGRO","COLOR PLASTISOL",IF(FICHA!B101="","N/A",FICHA!B101))))</f>
        <v>N/A</v>
      </c>
    </row>
    <row r="14" spans="2:13" ht="20">
      <c r="B14" s="78"/>
      <c r="C14" s="80"/>
      <c r="D14" s="73"/>
      <c r="E14" s="71"/>
      <c r="F14" s="71"/>
      <c r="G14" s="71"/>
      <c r="H14" s="42"/>
      <c r="I14" s="42"/>
    </row>
    <row r="15" spans="2:13" ht="19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IF(FICHA!A93="","N/A",FICHA!A93)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IF(FICHA!A94="","N/A",FICHA!A94)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IF(FICHA!A95="","N/A",FICHA!A95)</f>
        <v>N/A</v>
      </c>
      <c r="F18" s="83">
        <f>VLOOKUP(E18,'COSTOS '!$B$2:$C$16,2,0)</f>
        <v>0</v>
      </c>
    </row>
    <row r="19" spans="2:11">
      <c r="B19" s="3"/>
      <c r="C19" s="4">
        <f>FICHA!B98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FICHA!A98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FICHA!B99</f>
        <v>0</v>
      </c>
      <c r="D20" s="84">
        <f>IF(L11="N/A",0,IF(OR(L13="COLOR PLASTISOL",L13="BASE BLANCA"),L6/4,IF(OR(L12="COLOR PLASTISOL",L12="BASE BLANCA"),L6/3,L6/2)))</f>
        <v>0</v>
      </c>
      <c r="E20" s="4">
        <f>FICHA!A99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FICHA!B100</f>
        <v>0</v>
      </c>
      <c r="D21" s="84">
        <f>IF(L12="N/A",0,IF(OR(L13="COLOR PLASTISOL",L13="BASE BLANCA"),L6/4,L6/3))</f>
        <v>0</v>
      </c>
      <c r="E21" s="4">
        <f>FICHA!A100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FICHA!B101</f>
        <v>0</v>
      </c>
      <c r="D22" s="84">
        <f>IF(L13="N/A",0,L6/4)</f>
        <v>0</v>
      </c>
      <c r="E22" s="4">
        <f>FICHA!A101</f>
        <v>0</v>
      </c>
      <c r="F22" s="83">
        <f>IFERROR(VLOOKUP(E22,'COSTOS '!$B$2:$C$14,2,0),0)</f>
        <v>0</v>
      </c>
      <c r="K22" s="5"/>
    </row>
    <row r="23" spans="2:11" ht="16">
      <c r="B23" s="85"/>
      <c r="C23" s="81" t="s">
        <v>183</v>
      </c>
    </row>
    <row r="24" spans="2:11" ht="17" customHeight="1">
      <c r="B24" s="86" t="s">
        <v>175</v>
      </c>
      <c r="C24" s="87">
        <f>IF(FICHA!K74="SI",'COSTOS '!C36,0)</f>
        <v>0</v>
      </c>
    </row>
    <row r="25" spans="2:11" ht="17" customHeight="1">
      <c r="B25" s="86" t="s">
        <v>279</v>
      </c>
      <c r="C25" s="87"/>
    </row>
    <row r="26" spans="2:11" ht="17" customHeight="1">
      <c r="B26" s="86" t="s">
        <v>182</v>
      </c>
      <c r="C26" s="237">
        <f>IF(FICHA!B75="SI",'COSTOS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20">
      <c r="B30" s="93" t="s">
        <v>155</v>
      </c>
      <c r="C30" s="94"/>
      <c r="D30" s="95">
        <f>'COSTOS '!C20</f>
        <v>110</v>
      </c>
      <c r="E30" s="94"/>
      <c r="F30" s="71"/>
      <c r="G30" s="71"/>
      <c r="H30" s="96"/>
    </row>
    <row r="31" spans="2:11" ht="20">
      <c r="B31" s="93" t="s">
        <v>156</v>
      </c>
      <c r="C31" s="94"/>
      <c r="D31" s="95">
        <f>'COSTOS '!C21</f>
        <v>70</v>
      </c>
      <c r="E31" s="94"/>
      <c r="F31" s="71"/>
      <c r="G31" s="71"/>
      <c r="H31" s="97"/>
    </row>
    <row r="32" spans="2:11" ht="20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20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20">
      <c r="B34" s="93" t="s">
        <v>158</v>
      </c>
      <c r="C34" s="94"/>
      <c r="D34" s="101">
        <f>'COSTOS '!C23</f>
        <v>0.2</v>
      </c>
      <c r="E34" s="94"/>
      <c r="F34" s="71"/>
      <c r="G34" s="71"/>
      <c r="H34" s="97"/>
    </row>
    <row r="35" spans="2:9" ht="35">
      <c r="B35" s="102" t="s">
        <v>159</v>
      </c>
      <c r="C35" s="94"/>
      <c r="D35" s="103">
        <f>'COSTOS '!C24</f>
        <v>30000</v>
      </c>
      <c r="E35" s="94"/>
      <c r="F35" s="71"/>
      <c r="G35" s="71"/>
      <c r="H35" s="71"/>
    </row>
    <row r="36" spans="2:9" ht="20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20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f>'COSTOS '!C26</f>
        <v>0.3</v>
      </c>
      <c r="E38" s="109"/>
      <c r="F38" s="71"/>
      <c r="G38" s="97"/>
      <c r="H38" s="71"/>
    </row>
    <row r="39" spans="2:9" ht="20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20">
      <c r="B40" s="112" t="s">
        <v>163</v>
      </c>
      <c r="C40" s="113"/>
      <c r="D40" s="113"/>
      <c r="E40" s="114" t="str">
        <f>IFERROR(+E36+E39,"")</f>
        <v/>
      </c>
    </row>
    <row r="41" spans="2:9" ht="20">
      <c r="B41" s="71"/>
      <c r="C41" s="71"/>
      <c r="D41" s="71"/>
      <c r="E41" s="71"/>
      <c r="F41" s="71"/>
      <c r="G41" s="71"/>
      <c r="H41" s="71"/>
    </row>
    <row r="42" spans="2:9" ht="25">
      <c r="B42" s="115" t="s">
        <v>164</v>
      </c>
      <c r="C42" s="116"/>
      <c r="D42" s="116"/>
      <c r="E42" s="116"/>
      <c r="F42" s="116"/>
      <c r="G42" s="117" t="s">
        <v>154</v>
      </c>
      <c r="H42" s="23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7">
      <c r="B44" s="123" t="str">
        <f t="shared" ref="B44:B50" si="1">E16</f>
        <v>N/A</v>
      </c>
      <c r="C44" s="124" t="str">
        <f t="shared" ref="C44:D46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7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7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">
      <c r="B47" s="123">
        <f t="shared" si="1"/>
        <v>0</v>
      </c>
      <c r="C47" s="124">
        <f>FICHA!B98</f>
        <v>0</v>
      </c>
      <c r="D47" s="192">
        <f>+D19</f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">
      <c r="B48" s="123">
        <f t="shared" si="1"/>
        <v>0</v>
      </c>
      <c r="C48" s="124">
        <f>FICHA!B99</f>
        <v>0</v>
      </c>
      <c r="D48" s="192">
        <f>+D20</f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">
      <c r="B49" s="123">
        <f t="shared" si="1"/>
        <v>0</v>
      </c>
      <c r="C49" s="124">
        <f>FICHA!B100</f>
        <v>0</v>
      </c>
      <c r="D49" s="192">
        <f>+D21</f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">
      <c r="B50" s="123">
        <f t="shared" si="1"/>
        <v>0</v>
      </c>
      <c r="C50" s="124">
        <f>FICHA!A101</f>
        <v>0</v>
      </c>
      <c r="D50" s="192">
        <f>+D22</f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19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20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20">
      <c r="B56" s="140"/>
      <c r="C56" s="141"/>
      <c r="D56" s="141"/>
      <c r="E56" s="141"/>
      <c r="F56" s="140"/>
      <c r="G56" s="140"/>
      <c r="H56" s="140"/>
    </row>
    <row r="57" spans="2:8" ht="37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3">
      <c r="B62" s="393" t="s">
        <v>194</v>
      </c>
      <c r="C62" s="393"/>
      <c r="D62" s="393"/>
    </row>
    <row r="63" spans="2:8">
      <c r="B63" s="147" t="s">
        <v>130</v>
      </c>
      <c r="C63" s="147" t="s">
        <v>131</v>
      </c>
      <c r="D63" s="147" t="s">
        <v>170</v>
      </c>
    </row>
    <row r="64" spans="2:8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>
      <c r="B68" s="152" t="s">
        <v>172</v>
      </c>
      <c r="C68" s="153">
        <f>+H57</f>
        <v>0</v>
      </c>
      <c r="D68" s="154" t="str">
        <f>IFERROR(C68/$C$69,"")</f>
        <v/>
      </c>
    </row>
    <row r="69" spans="2:4" ht="23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J4mTTHAJquMDmc/TgdJrrTIQgwd1qApwYOoFfTgbYKbqO6rARUvoTYgV51vPo6pdAts2Oxg0ASWt6EJI+RfroQ==" saltValue="OBB9LirK52z60pA5+n7/pw==" spinCount="100000" sheet="1" objects="1" scenarios="1"/>
  <mergeCells count="3">
    <mergeCell ref="B1:H1"/>
    <mergeCell ref="B55:F55"/>
    <mergeCell ref="B62:D62"/>
  </mergeCells>
  <conditionalFormatting sqref="G51">
    <cfRule type="cellIs" dxfId="3" priority="1" operator="equal">
      <formula>"VALIDAR"</formula>
    </cfRule>
    <cfRule type="cellIs" dxfId="2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18165-A8AC-4A9C-A28B-6346B259C466}">
  <sheetPr codeName="Hoja9"/>
  <dimension ref="A1:M69"/>
  <sheetViews>
    <sheetView topLeftCell="J1" zoomScale="82" zoomScaleNormal="82" workbookViewId="0">
      <selection activeCell="I1" sqref="A1:I1048576"/>
    </sheetView>
  </sheetViews>
  <sheetFormatPr baseColWidth="10" defaultColWidth="10.83203125" defaultRowHeight="14"/>
  <cols>
    <col min="1" max="1" width="10.83203125" style="1" hidden="1" customWidth="1"/>
    <col min="2" max="2" width="46.5" style="1" hidden="1" customWidth="1"/>
    <col min="3" max="3" width="28.6640625" style="1" hidden="1" customWidth="1"/>
    <col min="4" max="4" width="24.5" style="1" hidden="1" customWidth="1"/>
    <col min="5" max="5" width="18.83203125" style="1" hidden="1" customWidth="1"/>
    <col min="6" max="6" width="15.5" style="1" hidden="1" customWidth="1"/>
    <col min="7" max="7" width="22.83203125" style="1" hidden="1" customWidth="1"/>
    <col min="8" max="8" width="24.5" style="1" hidden="1" customWidth="1"/>
    <col min="9" max="9" width="12.6640625" style="1" hidden="1" customWidth="1"/>
    <col min="10" max="11" width="10.83203125" style="1" customWidth="1"/>
    <col min="12" max="12" width="20.5" style="1" hidden="1" customWidth="1"/>
    <col min="13" max="15" width="10.83203125" style="1" customWidth="1"/>
    <col min="16" max="16384" width="10.83203125" style="1"/>
  </cols>
  <sheetData>
    <row r="1" spans="2:13" ht="24">
      <c r="B1" s="391" t="s">
        <v>135</v>
      </c>
      <c r="C1" s="391"/>
      <c r="D1" s="391"/>
      <c r="E1" s="391"/>
      <c r="F1" s="391"/>
      <c r="G1" s="391"/>
      <c r="H1" s="391"/>
    </row>
    <row r="2" spans="2:13" ht="20">
      <c r="B2" s="67" t="s">
        <v>136</v>
      </c>
      <c r="C2" s="68">
        <f>FICHA!B104</f>
        <v>0</v>
      </c>
      <c r="D2" s="69" t="s">
        <v>137</v>
      </c>
      <c r="E2" s="70">
        <f>FICHA!E104</f>
        <v>0</v>
      </c>
      <c r="F2" s="69" t="s">
        <v>138</v>
      </c>
      <c r="G2" s="70">
        <f>FICHA!I104</f>
        <v>0</v>
      </c>
      <c r="H2" s="71"/>
      <c r="I2" s="71"/>
    </row>
    <row r="3" spans="2:13" ht="20">
      <c r="B3" s="69" t="s">
        <v>139</v>
      </c>
      <c r="C3" s="72">
        <f>FICHA!B124</f>
        <v>0</v>
      </c>
      <c r="D3" s="73"/>
      <c r="E3" s="71"/>
      <c r="F3" s="71"/>
      <c r="G3" s="71"/>
      <c r="H3" s="71"/>
      <c r="I3" s="71"/>
    </row>
    <row r="4" spans="2:13" ht="20">
      <c r="B4" s="69" t="s">
        <v>140</v>
      </c>
      <c r="C4" s="72">
        <f>FICHA!B123</f>
        <v>0</v>
      </c>
      <c r="D4" s="74"/>
      <c r="E4" s="71"/>
      <c r="F4" s="71"/>
      <c r="G4" s="71"/>
      <c r="H4" s="71"/>
      <c r="I4" s="71"/>
      <c r="M4" s="5"/>
    </row>
    <row r="5" spans="2:13" ht="20">
      <c r="B5" s="69" t="s">
        <v>141</v>
      </c>
      <c r="C5" s="72" t="str">
        <f>FICHA!H109</f>
        <v/>
      </c>
      <c r="D5" s="73"/>
      <c r="E5" s="71"/>
      <c r="F5" s="71"/>
      <c r="G5" s="71"/>
      <c r="J5" s="75"/>
      <c r="M5" s="5"/>
    </row>
    <row r="6" spans="2:13" ht="20">
      <c r="B6" s="69" t="s">
        <v>142</v>
      </c>
      <c r="C6" s="72" t="str">
        <f>FICHA!E109</f>
        <v/>
      </c>
      <c r="D6" s="73"/>
      <c r="E6" s="71"/>
      <c r="F6" s="71"/>
      <c r="G6" s="71"/>
      <c r="L6" s="76">
        <f>$C$3*$C$4*$C$7</f>
        <v>0</v>
      </c>
      <c r="M6" s="5"/>
    </row>
    <row r="7" spans="2:13" ht="20">
      <c r="B7" s="69" t="s">
        <v>143</v>
      </c>
      <c r="C7" s="77">
        <f>FICHA!I108</f>
        <v>0</v>
      </c>
      <c r="D7" s="73"/>
      <c r="E7" s="71"/>
      <c r="F7" s="71"/>
      <c r="G7" s="71"/>
      <c r="L7" s="5" t="str">
        <f>IF(FICHA!A127="","N/A",FICHA!A127)</f>
        <v>N/A</v>
      </c>
      <c r="M7" s="5"/>
    </row>
    <row r="8" spans="2:13" ht="20">
      <c r="B8" s="69" t="s">
        <v>144</v>
      </c>
      <c r="C8" s="72">
        <f>'COSTOS '!C32</f>
        <v>300</v>
      </c>
      <c r="D8" s="73"/>
      <c r="E8" s="71"/>
      <c r="F8" s="71"/>
      <c r="G8" s="71"/>
      <c r="L8" s="5" t="str">
        <f>IF(FICHA!A128="","N/A",FICHA!A128)</f>
        <v>N/A</v>
      </c>
      <c r="M8" s="5"/>
    </row>
    <row r="9" spans="2:13" ht="20">
      <c r="B9" s="69" t="s">
        <v>150</v>
      </c>
      <c r="C9" s="72" t="str">
        <f>FICHA!I107</f>
        <v/>
      </c>
      <c r="D9" s="73"/>
      <c r="E9" s="71"/>
      <c r="F9" s="71"/>
      <c r="G9" s="71"/>
      <c r="L9" s="5" t="str">
        <f>IF(FICHA!A129="","N/A",FICHA!A129)</f>
        <v>N/A</v>
      </c>
      <c r="M9" s="5"/>
    </row>
    <row r="10" spans="2:13" ht="17.5" customHeight="1">
      <c r="B10" s="69" t="s">
        <v>145</v>
      </c>
      <c r="C10" s="72">
        <f>FICHA!K108</f>
        <v>0</v>
      </c>
      <c r="D10" s="73"/>
      <c r="E10" s="71"/>
      <c r="F10" s="71"/>
      <c r="G10" s="71"/>
      <c r="H10" s="42"/>
      <c r="I10" s="42"/>
      <c r="L10" s="5" t="str">
        <f>IF(FICHA!B132="BLANCO","BASE BLANCA",IF(FICHA!B132&gt;=1,"COLOR PLASTISOL",IF(FICHA!B132="NEGRO","COLOR PLASTISOL",IF(FICHA!B132="","N/A",FICHA!B132))))</f>
        <v>N/A</v>
      </c>
      <c r="M10" s="5"/>
    </row>
    <row r="11" spans="2:13" ht="20">
      <c r="B11" s="69" t="s">
        <v>178</v>
      </c>
      <c r="C11" s="72">
        <f>FICHA!B109</f>
        <v>0</v>
      </c>
      <c r="D11" s="73"/>
      <c r="E11" s="71"/>
      <c r="F11" s="71"/>
      <c r="G11" s="71"/>
      <c r="H11" s="42"/>
      <c r="I11" s="42"/>
      <c r="L11" s="5" t="str">
        <f>IF(FICHA!B133="BLANCO","BASE BLANCA",IF(FICHA!B133&gt;=1,"COLOR PLASTISOL",IF(FICHA!B133="NEGRO","COLOR PLASTISOL",IF(FICHA!B133="","N/A",FICHA!B133))))</f>
        <v>N/A</v>
      </c>
    </row>
    <row r="12" spans="2:13" ht="20">
      <c r="B12" s="230" t="s">
        <v>280</v>
      </c>
      <c r="C12" s="231">
        <f>FICHA!J106</f>
        <v>0</v>
      </c>
      <c r="D12" s="73"/>
      <c r="E12" s="71"/>
      <c r="F12" s="71"/>
      <c r="G12" s="71"/>
      <c r="H12" s="42"/>
      <c r="I12" s="42"/>
      <c r="L12" s="5" t="str">
        <f>IF(FICHA!B134="BLANCO","BASE BLANCA",IF(FICHA!B134&gt;=1,"COLOR PLASTISOL",IF(FICHA!B134="NEGRO","COLOR PLASTISOL",IF(FICHA!B134="","N/A",FICHA!B134))))</f>
        <v>N/A</v>
      </c>
    </row>
    <row r="13" spans="2:13" ht="20">
      <c r="B13" s="78"/>
      <c r="C13" s="79"/>
      <c r="D13" s="73"/>
      <c r="E13" s="71"/>
      <c r="F13" s="71"/>
      <c r="G13" s="71"/>
      <c r="H13" s="42"/>
      <c r="I13" s="42"/>
      <c r="L13" s="5" t="str">
        <f>IF(FICHA!B135="BLANCO","BASE BLANCA",IF(FICHA!B135&gt;=1,"COLOR PLASTISOL",IF(FICHA!B135="NEGRO","COLOR PLASTISOL",IF(FICHA!B135="","N/A",FICHA!B135))))</f>
        <v>N/A</v>
      </c>
    </row>
    <row r="14" spans="2:13" ht="20">
      <c r="B14" s="78"/>
      <c r="C14" s="80"/>
      <c r="D14" s="73"/>
      <c r="E14" s="71"/>
      <c r="F14" s="71"/>
      <c r="G14" s="71"/>
      <c r="H14" s="42"/>
      <c r="I14" s="42"/>
    </row>
    <row r="15" spans="2:13" ht="19">
      <c r="B15" s="81" t="s">
        <v>146</v>
      </c>
      <c r="C15" s="81" t="s">
        <v>147</v>
      </c>
      <c r="D15" s="81" t="s">
        <v>188</v>
      </c>
      <c r="E15" s="81"/>
      <c r="F15" s="81" t="s">
        <v>149</v>
      </c>
      <c r="H15" s="42"/>
      <c r="I15" s="42"/>
    </row>
    <row r="16" spans="2:13">
      <c r="B16" s="3"/>
      <c r="C16" s="4" t="s">
        <v>106</v>
      </c>
      <c r="D16" s="82">
        <f>IF($L$7="N/A",0,$C$3*$C$4*$C$7)</f>
        <v>0</v>
      </c>
      <c r="E16" s="4" t="str">
        <f>IF(FICHA!A127="","N/A",FICHA!A127)</f>
        <v>N/A</v>
      </c>
      <c r="F16" s="83">
        <f>VLOOKUP(E16,'COSTOS '!$B$2:$C$16,2,0)</f>
        <v>0</v>
      </c>
    </row>
    <row r="17" spans="2:11">
      <c r="B17" s="3"/>
      <c r="C17" s="4" t="s">
        <v>106</v>
      </c>
      <c r="D17" s="82">
        <f t="shared" ref="D17:D18" si="0">IF($L$7="N/A",0,$C$3*$C$4*$C$7)</f>
        <v>0</v>
      </c>
      <c r="E17" s="4" t="str">
        <f>IF(FICHA!A128="","N/A",FICHA!A128)</f>
        <v>N/A</v>
      </c>
      <c r="F17" s="83">
        <f>VLOOKUP(E17,'COSTOS '!$B$2:$C$16,2,0)</f>
        <v>0</v>
      </c>
    </row>
    <row r="18" spans="2:11">
      <c r="B18" s="3"/>
      <c r="C18" s="4" t="s">
        <v>106</v>
      </c>
      <c r="D18" s="82">
        <f t="shared" si="0"/>
        <v>0</v>
      </c>
      <c r="E18" s="4" t="str">
        <f>IF(FICHA!A129="","N/A",FICHA!A129)</f>
        <v>N/A</v>
      </c>
      <c r="F18" s="83">
        <f>VLOOKUP(E18,'COSTOS '!$B$2:$C$16,2,0)</f>
        <v>0</v>
      </c>
    </row>
    <row r="19" spans="2:11">
      <c r="B19" s="3"/>
      <c r="C19" s="4">
        <f>FICHA!C30</f>
        <v>0</v>
      </c>
      <c r="D19" s="84">
        <f>IF(AND(C9="CLARO",L11="N/A"),L6,IF(D22&gt;0,L6/4,IF(D21&gt;0,L6/3,IF(D20&gt;0,L6/2,IF(AND(L11="N/A",D20=0),L6,IF(AND(C9="CLARO",L11="COLOR PLASTISOL"),L6/2,IF(AND(C9="CLARO",L11="BASE BLANCA"),L6/2)))))))</f>
        <v>0</v>
      </c>
      <c r="E19" s="4">
        <f>FICHA!A132</f>
        <v>0</v>
      </c>
      <c r="F19" s="83">
        <f>IFERROR(VLOOKUP(E19,'COSTOS '!$B$2:$C$14,2,0),0)</f>
        <v>0</v>
      </c>
      <c r="K19" s="5"/>
    </row>
    <row r="20" spans="2:11">
      <c r="B20" s="3"/>
      <c r="C20" s="4">
        <f>FICHA!C31</f>
        <v>0</v>
      </c>
      <c r="D20" s="84">
        <f>IF(L11="N/A",0,IF(OR(L13="COLOR PLASTISOL",L13="BASE BLANCA"),L6/4,IF(OR(L12="COLOR PLASTISOL",L12="BASE BLANCA"),L6/3,L6/2)))</f>
        <v>0</v>
      </c>
      <c r="E20" s="4">
        <f>FICHA!A133</f>
        <v>0</v>
      </c>
      <c r="F20" s="83">
        <f>IFERROR(VLOOKUP(E20,'COSTOS '!$B$2:$C$14,2,0),0)</f>
        <v>0</v>
      </c>
      <c r="K20" s="5"/>
    </row>
    <row r="21" spans="2:11">
      <c r="B21" s="3"/>
      <c r="C21" s="4">
        <f>FICHA!C32</f>
        <v>0</v>
      </c>
      <c r="D21" s="84">
        <f>IF(L12="N/A",0,IF(OR(L13="COLOR PLASTISOL",L13="BASE BLANCA"),L6/4,L6/3))</f>
        <v>0</v>
      </c>
      <c r="E21" s="4">
        <f>FICHA!A134</f>
        <v>0</v>
      </c>
      <c r="F21" s="83">
        <f>IFERROR(VLOOKUP(E21,'COSTOS '!$B$2:$C$14,2,0),0)</f>
        <v>0</v>
      </c>
      <c r="K21" s="5"/>
    </row>
    <row r="22" spans="2:11">
      <c r="B22" s="3"/>
      <c r="C22" s="4">
        <f>FICHA!C33</f>
        <v>0</v>
      </c>
      <c r="D22" s="84">
        <f>IF(L13="N/A",0,L6/4)</f>
        <v>0</v>
      </c>
      <c r="E22" s="4">
        <f>FICHA!A135</f>
        <v>0</v>
      </c>
      <c r="F22" s="83">
        <f>IFERROR(VLOOKUP(E22,'COSTOS '!$B$2:$C$14,2,0),0)</f>
        <v>0</v>
      </c>
      <c r="K22" s="5"/>
    </row>
    <row r="23" spans="2:11" ht="16">
      <c r="B23" s="85"/>
      <c r="C23" s="81" t="s">
        <v>183</v>
      </c>
    </row>
    <row r="24" spans="2:11" ht="17" customHeight="1">
      <c r="B24" s="86" t="s">
        <v>175</v>
      </c>
      <c r="C24" s="87">
        <f>IF(FICHA!K108="SI",'COSTOS '!C36,0)</f>
        <v>0</v>
      </c>
    </row>
    <row r="25" spans="2:11" ht="17" customHeight="1">
      <c r="B25" s="86" t="s">
        <v>279</v>
      </c>
      <c r="C25" s="87"/>
    </row>
    <row r="26" spans="2:11" ht="17" customHeight="1">
      <c r="B26" s="86" t="s">
        <v>182</v>
      </c>
      <c r="C26" s="237">
        <f>IF(FICHA!B109="SI",'COSTOS '!C37,0)</f>
        <v>0</v>
      </c>
    </row>
    <row r="29" spans="2:11" ht="21" customHeight="1">
      <c r="B29" s="88" t="s">
        <v>153</v>
      </c>
      <c r="C29" s="89"/>
      <c r="D29" s="89"/>
      <c r="E29" s="89"/>
      <c r="F29" s="90"/>
      <c r="G29" s="91" t="s">
        <v>154</v>
      </c>
      <c r="H29" s="92" t="str">
        <f>IFERROR((+E40/C8),"")</f>
        <v/>
      </c>
    </row>
    <row r="30" spans="2:11" ht="20">
      <c r="B30" s="93" t="s">
        <v>155</v>
      </c>
      <c r="C30" s="94"/>
      <c r="D30" s="95">
        <v>110</v>
      </c>
      <c r="E30" s="94"/>
      <c r="F30" s="71"/>
      <c r="G30" s="71"/>
      <c r="H30" s="96"/>
    </row>
    <row r="31" spans="2:11" ht="20">
      <c r="B31" s="93" t="s">
        <v>156</v>
      </c>
      <c r="C31" s="94"/>
      <c r="D31" s="95">
        <v>70</v>
      </c>
      <c r="E31" s="94"/>
      <c r="F31" s="71"/>
      <c r="G31" s="71"/>
      <c r="H31" s="97"/>
    </row>
    <row r="32" spans="2:11" ht="20">
      <c r="B32" s="93" t="s">
        <v>157</v>
      </c>
      <c r="C32" s="98"/>
      <c r="D32" s="99" t="str">
        <f>C5</f>
        <v/>
      </c>
      <c r="E32" s="94"/>
      <c r="F32" s="71"/>
      <c r="G32" s="71"/>
      <c r="H32" s="97"/>
    </row>
    <row r="33" spans="2:9" ht="20">
      <c r="B33" s="93" t="s">
        <v>189</v>
      </c>
      <c r="C33" s="94"/>
      <c r="D33" s="100">
        <f>'COSTOS '!C22</f>
        <v>4.9800000000000004</v>
      </c>
      <c r="E33" s="94"/>
      <c r="F33" s="71"/>
      <c r="G33" s="71"/>
      <c r="H33" s="71"/>
    </row>
    <row r="34" spans="2:9" ht="20">
      <c r="B34" s="93" t="s">
        <v>158</v>
      </c>
      <c r="C34" s="94"/>
      <c r="D34" s="101">
        <v>0.2</v>
      </c>
      <c r="E34" s="94"/>
      <c r="F34" s="71"/>
      <c r="G34" s="71"/>
      <c r="H34" s="97"/>
    </row>
    <row r="35" spans="2:9" ht="35">
      <c r="B35" s="102" t="s">
        <v>159</v>
      </c>
      <c r="C35" s="94"/>
      <c r="D35" s="103">
        <v>30000</v>
      </c>
      <c r="E35" s="94"/>
      <c r="F35" s="71"/>
      <c r="G35" s="71"/>
      <c r="H35" s="71"/>
    </row>
    <row r="36" spans="2:9" ht="20">
      <c r="B36" s="104" t="s">
        <v>160</v>
      </c>
      <c r="C36" s="104"/>
      <c r="D36" s="105"/>
      <c r="E36" s="106" t="str">
        <f>IFERROR(+((D33*D30*D31*(1+D34))/D35)*C8*D32,"")</f>
        <v/>
      </c>
      <c r="F36" s="107"/>
      <c r="G36" s="71"/>
      <c r="H36" s="71"/>
    </row>
    <row r="37" spans="2:9" ht="20">
      <c r="B37" s="108" t="s">
        <v>161</v>
      </c>
      <c r="C37" s="109"/>
      <c r="D37" s="110">
        <f>'COSTOS '!C25</f>
        <v>43310</v>
      </c>
      <c r="E37" s="108"/>
      <c r="F37" s="71"/>
      <c r="G37" s="71"/>
      <c r="H37" s="71"/>
    </row>
    <row r="38" spans="2:9" ht="21">
      <c r="B38" s="108" t="s">
        <v>190</v>
      </c>
      <c r="C38" s="109"/>
      <c r="D38" s="111">
        <v>0.3</v>
      </c>
      <c r="E38" s="109"/>
      <c r="F38" s="71"/>
      <c r="G38" s="97"/>
      <c r="H38" s="71"/>
    </row>
    <row r="39" spans="2:9" ht="20">
      <c r="B39" s="104" t="s">
        <v>162</v>
      </c>
      <c r="C39" s="104"/>
      <c r="D39" s="105"/>
      <c r="E39" s="106" t="str">
        <f>IFERROR(+(D30*D31*D32)*D38/100*D37/1000,"")</f>
        <v/>
      </c>
      <c r="F39" s="107"/>
      <c r="G39" s="96"/>
      <c r="H39" s="71"/>
    </row>
    <row r="40" spans="2:9" ht="20">
      <c r="B40" s="112" t="s">
        <v>163</v>
      </c>
      <c r="C40" s="113"/>
      <c r="D40" s="113"/>
      <c r="E40" s="114" t="str">
        <f>IFERROR(+E36+E39,"")</f>
        <v/>
      </c>
    </row>
    <row r="41" spans="2:9" ht="20">
      <c r="B41" s="71"/>
      <c r="C41" s="71"/>
      <c r="D41" s="71"/>
      <c r="E41" s="71"/>
      <c r="F41" s="71"/>
      <c r="G41" s="71"/>
      <c r="H41" s="71"/>
    </row>
    <row r="42" spans="2:9" ht="25">
      <c r="B42" s="115" t="s">
        <v>164</v>
      </c>
      <c r="C42" s="116"/>
      <c r="D42" s="116"/>
      <c r="E42" s="116"/>
      <c r="F42" s="116"/>
      <c r="G42" s="117" t="s">
        <v>154</v>
      </c>
      <c r="H42" s="118">
        <f>(SUM(H44:H50)+H53+H54)/'COSTOS '!C28</f>
        <v>0</v>
      </c>
      <c r="I42" s="119"/>
    </row>
    <row r="43" spans="2:9" ht="30" customHeight="1">
      <c r="B43" s="120" t="str">
        <f>+B15</f>
        <v>Colores</v>
      </c>
      <c r="C43" s="120" t="s">
        <v>147</v>
      </c>
      <c r="D43" s="120" t="s">
        <v>191</v>
      </c>
      <c r="E43" s="120" t="s">
        <v>148</v>
      </c>
      <c r="F43" s="120" t="s">
        <v>165</v>
      </c>
      <c r="G43" s="121" t="s">
        <v>192</v>
      </c>
      <c r="H43" s="122" t="s">
        <v>166</v>
      </c>
    </row>
    <row r="44" spans="2:9" ht="17">
      <c r="B44" s="123" t="str">
        <f t="shared" ref="B44:B50" si="1">E16</f>
        <v>N/A</v>
      </c>
      <c r="C44" s="124" t="str">
        <f t="shared" ref="C44:D50" si="2">+C16</f>
        <v>NA</v>
      </c>
      <c r="D44" s="192">
        <f t="shared" si="2"/>
        <v>0</v>
      </c>
      <c r="E44" s="126" t="str">
        <f t="shared" ref="E44:E50" si="3">E16</f>
        <v>N/A</v>
      </c>
      <c r="F44" s="127">
        <f t="shared" ref="F44:F50" si="4">+F16</f>
        <v>0</v>
      </c>
      <c r="G44" s="128">
        <v>0.6</v>
      </c>
      <c r="H44" s="129">
        <f>IFERROR((+G44/100)*D44*(F44/1000),0)</f>
        <v>0</v>
      </c>
    </row>
    <row r="45" spans="2:9" ht="17">
      <c r="B45" s="123" t="str">
        <f t="shared" si="1"/>
        <v>N/A</v>
      </c>
      <c r="C45" s="124" t="str">
        <f t="shared" si="2"/>
        <v>NA</v>
      </c>
      <c r="D45" s="192">
        <f t="shared" si="2"/>
        <v>0</v>
      </c>
      <c r="E45" s="126" t="str">
        <f t="shared" si="3"/>
        <v>N/A</v>
      </c>
      <c r="F45" s="127">
        <f t="shared" si="4"/>
        <v>0</v>
      </c>
      <c r="G45" s="128">
        <f t="shared" ref="G45:G50" si="5">IF($C$9="CLARO",0.6,0.4)</f>
        <v>0.4</v>
      </c>
      <c r="H45" s="129">
        <f>IFERROR((+G45/100)*D45*(F45/1000),0)</f>
        <v>0</v>
      </c>
    </row>
    <row r="46" spans="2:9" ht="17">
      <c r="B46" s="123" t="str">
        <f t="shared" si="1"/>
        <v>N/A</v>
      </c>
      <c r="C46" s="124" t="str">
        <f t="shared" si="2"/>
        <v>NA</v>
      </c>
      <c r="D46" s="192">
        <f t="shared" si="2"/>
        <v>0</v>
      </c>
      <c r="E46" s="126" t="str">
        <f t="shared" si="3"/>
        <v>N/A</v>
      </c>
      <c r="F46" s="127">
        <f t="shared" si="4"/>
        <v>0</v>
      </c>
      <c r="G46" s="128">
        <f t="shared" si="5"/>
        <v>0.4</v>
      </c>
      <c r="H46" s="129">
        <f t="shared" ref="H46:H50" si="6">(+G46/100)*D46*(F46/1000)</f>
        <v>0</v>
      </c>
    </row>
    <row r="47" spans="2:9" ht="16">
      <c r="B47" s="123">
        <f t="shared" si="1"/>
        <v>0</v>
      </c>
      <c r="C47" s="124">
        <f t="shared" si="2"/>
        <v>0</v>
      </c>
      <c r="D47" s="192">
        <f t="shared" si="2"/>
        <v>0</v>
      </c>
      <c r="E47" s="126">
        <f t="shared" si="3"/>
        <v>0</v>
      </c>
      <c r="F47" s="127">
        <f t="shared" si="4"/>
        <v>0</v>
      </c>
      <c r="G47" s="128">
        <f t="shared" si="5"/>
        <v>0.4</v>
      </c>
      <c r="H47" s="129">
        <f t="shared" si="6"/>
        <v>0</v>
      </c>
    </row>
    <row r="48" spans="2:9" ht="16">
      <c r="B48" s="123">
        <f t="shared" si="1"/>
        <v>0</v>
      </c>
      <c r="C48" s="124">
        <f t="shared" si="2"/>
        <v>0</v>
      </c>
      <c r="D48" s="192">
        <f t="shared" si="2"/>
        <v>0</v>
      </c>
      <c r="E48" s="126">
        <f t="shared" si="3"/>
        <v>0</v>
      </c>
      <c r="F48" s="127">
        <f t="shared" si="4"/>
        <v>0</v>
      </c>
      <c r="G48" s="128">
        <f t="shared" si="5"/>
        <v>0.4</v>
      </c>
      <c r="H48" s="129">
        <f t="shared" si="6"/>
        <v>0</v>
      </c>
    </row>
    <row r="49" spans="2:8" ht="16">
      <c r="B49" s="123">
        <f t="shared" si="1"/>
        <v>0</v>
      </c>
      <c r="C49" s="124">
        <f t="shared" si="2"/>
        <v>0</v>
      </c>
      <c r="D49" s="192">
        <f t="shared" si="2"/>
        <v>0</v>
      </c>
      <c r="E49" s="126">
        <f t="shared" si="3"/>
        <v>0</v>
      </c>
      <c r="F49" s="127">
        <f t="shared" si="4"/>
        <v>0</v>
      </c>
      <c r="G49" s="128">
        <f t="shared" si="5"/>
        <v>0.4</v>
      </c>
      <c r="H49" s="129">
        <f t="shared" si="6"/>
        <v>0</v>
      </c>
    </row>
    <row r="50" spans="2:8" ht="16">
      <c r="B50" s="123">
        <f t="shared" si="1"/>
        <v>0</v>
      </c>
      <c r="C50" s="124">
        <f t="shared" si="2"/>
        <v>0</v>
      </c>
      <c r="D50" s="192">
        <f t="shared" si="2"/>
        <v>0</v>
      </c>
      <c r="E50" s="126">
        <f t="shared" si="3"/>
        <v>0</v>
      </c>
      <c r="F50" s="127">
        <f t="shared" si="4"/>
        <v>0</v>
      </c>
      <c r="G50" s="128">
        <f t="shared" si="5"/>
        <v>0.4</v>
      </c>
      <c r="H50" s="129">
        <f t="shared" si="6"/>
        <v>0</v>
      </c>
    </row>
    <row r="51" spans="2:8" ht="16">
      <c r="B51" s="108"/>
      <c r="C51" s="124"/>
      <c r="D51" s="125"/>
      <c r="E51" s="124"/>
      <c r="F51" s="127"/>
      <c r="G51" s="128" t="str">
        <f>+IF(SUM(G46:G50)=G44,"OK","VALIDAR")</f>
        <v>VALIDAR</v>
      </c>
      <c r="H51" s="129"/>
    </row>
    <row r="52" spans="2:8" ht="19">
      <c r="B52" s="130"/>
      <c r="C52" s="131" t="s">
        <v>151</v>
      </c>
      <c r="D52" s="131" t="s">
        <v>191</v>
      </c>
      <c r="E52" s="131" t="s">
        <v>152</v>
      </c>
      <c r="F52" s="131" t="s">
        <v>193</v>
      </c>
      <c r="G52" s="132" t="s">
        <v>167</v>
      </c>
      <c r="H52" s="133" t="s">
        <v>174</v>
      </c>
    </row>
    <row r="53" spans="2:8" ht="16">
      <c r="B53" s="108" t="str">
        <f>+B24</f>
        <v>Papel Foil Mano de Obra</v>
      </c>
      <c r="C53" s="134"/>
      <c r="D53" s="135"/>
      <c r="E53" s="136"/>
      <c r="F53" s="134"/>
      <c r="G53" s="137"/>
      <c r="H53" s="138">
        <f>C24</f>
        <v>0</v>
      </c>
    </row>
    <row r="54" spans="2:8" ht="16">
      <c r="B54" s="86" t="s">
        <v>284</v>
      </c>
      <c r="C54" s="134"/>
      <c r="D54" s="135"/>
      <c r="E54" s="136"/>
      <c r="F54" s="134"/>
      <c r="G54" s="137"/>
      <c r="H54" s="138">
        <f>C26</f>
        <v>0</v>
      </c>
    </row>
    <row r="55" spans="2:8" ht="20">
      <c r="B55" s="392" t="s">
        <v>168</v>
      </c>
      <c r="C55" s="392"/>
      <c r="D55" s="392"/>
      <c r="E55" s="392"/>
      <c r="F55" s="392"/>
      <c r="G55" s="139"/>
      <c r="H55" s="114">
        <f>+H42</f>
        <v>0</v>
      </c>
    </row>
    <row r="56" spans="2:8" ht="20">
      <c r="B56" s="140"/>
      <c r="C56" s="141"/>
      <c r="D56" s="141"/>
      <c r="E56" s="141"/>
      <c r="F56" s="140"/>
      <c r="G56" s="140"/>
      <c r="H56" s="140"/>
    </row>
    <row r="57" spans="2:8" ht="37">
      <c r="B57" s="142" t="s">
        <v>169</v>
      </c>
      <c r="C57" s="143"/>
      <c r="D57" s="143"/>
      <c r="E57" s="143"/>
      <c r="F57" s="144"/>
      <c r="G57" s="145"/>
      <c r="H57" s="146">
        <f>SUM(H42,H29)</f>
        <v>0</v>
      </c>
    </row>
    <row r="62" spans="2:8" ht="23">
      <c r="B62" s="393" t="s">
        <v>194</v>
      </c>
      <c r="C62" s="393"/>
      <c r="D62" s="393"/>
    </row>
    <row r="63" spans="2:8">
      <c r="B63" s="147" t="s">
        <v>130</v>
      </c>
      <c r="C63" s="147" t="s">
        <v>131</v>
      </c>
      <c r="D63" s="147" t="s">
        <v>170</v>
      </c>
    </row>
    <row r="64" spans="2:8">
      <c r="B64" s="148" t="s">
        <v>132</v>
      </c>
      <c r="C64" s="149" t="str">
        <f>IF(C10="SI",'COSTOS '!I4,IF(AND(C12="ISOTIPO",(C9="CLARO")),'COSTOS '!L4,IF(AND(C12="ISOTIPO",C9="OSCURO"),'COSTOS '!L4,IF(AND(C12="ISOTIPO",C9="MEDIO"),'COSTOS '!L4,IF(AND(C12="ESTAMPADO",(C9="CLARO")),'COSTOS '!O16,IF(AND(C12="ESTAMPADO",(C9="OSCURO")),'COSTOS '!O4,IF(AND(C12="ESTAMPADO",(C9="MEDIO")),'COSTOS '!O4,IF(C9="","",IF(C9="OSCURO",'COSTOS '!F4,IF(C9="MEDIO",'COSTOS '!F4,IF(C9="CLARO",'COSTOS '!I4)))))))))))</f>
        <v/>
      </c>
      <c r="D64" s="150" t="e">
        <f>C64/$C$69</f>
        <v>#VALUE!</v>
      </c>
    </row>
    <row r="65" spans="2:4" ht="15">
      <c r="B65" s="151" t="s">
        <v>185</v>
      </c>
      <c r="C65" s="149" t="str">
        <f>IF(C10="SI",'COSTOS '!I5,IF(AND(C12="ISOTIPO",(C9="CLARO")),'COSTOS '!L5,IF(AND(C12="ISOTIPO",C9="OSCURO"),'COSTOS '!L5,IF(AND(C12="ISOTIPO",C9="MEDIO"),'COSTOS '!L5,IF(AND(C12="ESTAMPADO",(C9="CLARO")),'COSTOS '!O17,IF(AND(C12="ESTAMPADO",(C9="OSCURO")),'COSTOS '!O5,IF(AND(C12="ESTAMPADO",(C9="MEDIO")),'COSTOS '!O5,IF(C9="","",IF(C9="OSCURO",'COSTOS '!F5,IF(C9="MEDIO",'COSTOS '!F5,IF(C9="CLARO",'COSTOS '!I5)))))))))))</f>
        <v/>
      </c>
      <c r="D65" s="150" t="e">
        <f t="shared" ref="D65:D67" si="7">C65/$C$69</f>
        <v>#VALUE!</v>
      </c>
    </row>
    <row r="66" spans="2:4">
      <c r="B66" s="148" t="s">
        <v>133</v>
      </c>
      <c r="C66" s="149" t="str">
        <f>IF(C10="SI",'COSTOS '!I6,IF(AND(C12="ISOTIPO",(C9="CLARO")),'COSTOS '!L6,IF(AND(C12="ISOTIPO",C9="OSCURO"),'COSTOS '!L6,IF(AND(C12="ISOTIPO",C9="MEDIO"),'COSTOS '!L6,IF(AND(C12="ESTAMPADO",(C9="CLARO")),'COSTOS '!O18,IF(AND(C12="ESTAMPADO",(C9="OSCURO")),'COSTOS '!O6,IF(AND(C12="ESTAMPADO",(C9="MEDIO")),'COSTOS '!O6,IF(C9="","",IF(C9="OSCURO",'COSTOS '!F6,IF(C9="MEDIO",'COSTOS '!F6,IF(C9="CLARO",'COSTOS '!I6)))))))))))</f>
        <v/>
      </c>
      <c r="D66" s="150" t="e">
        <f t="shared" si="7"/>
        <v>#VALUE!</v>
      </c>
    </row>
    <row r="67" spans="2:4">
      <c r="B67" s="148" t="s">
        <v>171</v>
      </c>
      <c r="C67" s="149" t="str">
        <f>IF(C10="SI",'COSTOS '!I7,IF(AND(C12="ISOTIPO",(C9="CLARO")),'COSTOS '!L7,IF(AND(C12="ISOTIPO",C9="OSCURO"),'COSTOS '!L7,IF(AND(C12="ISOTIPO",C9="MEDIO"),'COSTOS '!L7,IF(AND(C12="ESTAMPADO",(C9="CLARO")),'COSTOS '!O19,IF(AND(C12="ESTAMPADO",(C9="OSCURO")),'COSTOS '!O7,IF(AND(C12="ESTAMPADO",(C9="MEDIO")),'COSTOS '!O7,IF(C9="","",IF(C9="OSCURO",'COSTOS '!F7,IF(C9="MEDIO",'COSTOS '!F7,IF(C9="CLARO",'COSTOS '!I7)))))))))))</f>
        <v/>
      </c>
      <c r="D67" s="150" t="e">
        <f t="shared" si="7"/>
        <v>#VALUE!</v>
      </c>
    </row>
    <row r="68" spans="2:4">
      <c r="B68" s="152" t="s">
        <v>172</v>
      </c>
      <c r="C68" s="153">
        <f>+H57</f>
        <v>0</v>
      </c>
      <c r="D68" s="154" t="str">
        <f>IFERROR(C68/$C$69,"")</f>
        <v/>
      </c>
    </row>
    <row r="69" spans="2:4" ht="23">
      <c r="B69" s="155" t="s">
        <v>173</v>
      </c>
      <c r="C69" s="156">
        <f>IF(FICHA!L15="AZZ KIDS",SUM(C64:C68,'COSTOS '!C30),IF(FICHA!L15="KIDS NIÑO",SUM(C64:C68,'COSTOS '!C30),IF(FICHA!L15="KIDS NIÑA",SUM(C64:C68,'COSTOS '!C30),IF(C12="ISOTIPO",SUM(C64:C68,'COSTOS '!C34),SUM(C64:C68)))))</f>
        <v>0</v>
      </c>
      <c r="D69" s="157" t="e">
        <f>SUM(D64:D68)</f>
        <v>#VALUE!</v>
      </c>
    </row>
  </sheetData>
  <sheetProtection algorithmName="SHA-512" hashValue="LelA4Ws4sBxLdpUfanaJev7QwFsR2dvfVXFUfjN2pyuPxo/kX5FR1K8Hmt4wC9LL0Hvcd9BsIEKPx1QgeQU2pQ==" saltValue="0931zzgUqW0Agk+Pykg1Sw==" spinCount="100000" sheet="1" objects="1" scenarios="1"/>
  <mergeCells count="3">
    <mergeCell ref="B1:H1"/>
    <mergeCell ref="B55:F55"/>
    <mergeCell ref="B62:D62"/>
  </mergeCells>
  <conditionalFormatting sqref="G51">
    <cfRule type="cellIs" dxfId="1" priority="1" operator="equal">
      <formula>"VALIDAR"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FFDEE-130E-4C57-B195-CB96D2DE9379}">
  <sheetPr codeName="Hoja7"/>
  <dimension ref="B1:O37"/>
  <sheetViews>
    <sheetView topLeftCell="P1" zoomScale="93" zoomScaleNormal="93" workbookViewId="0">
      <selection activeCell="O3" sqref="B1:O1048576"/>
    </sheetView>
  </sheetViews>
  <sheetFormatPr baseColWidth="10" defaultColWidth="10.83203125" defaultRowHeight="14"/>
  <cols>
    <col min="1" max="1" width="10.83203125" style="1" customWidth="1"/>
    <col min="2" max="2" width="58.33203125" style="1" hidden="1" customWidth="1"/>
    <col min="3" max="3" width="14.5" style="1" hidden="1" customWidth="1"/>
    <col min="4" max="4" width="13.33203125" style="1" hidden="1" customWidth="1"/>
    <col min="5" max="5" width="37" style="1" hidden="1" customWidth="1"/>
    <col min="6" max="6" width="22.1640625" style="1" hidden="1" customWidth="1"/>
    <col min="7" max="7" width="10.83203125" style="1" hidden="1" customWidth="1"/>
    <col min="8" max="8" width="20.33203125" style="1" hidden="1" customWidth="1"/>
    <col min="9" max="9" width="18.83203125" style="1" hidden="1" customWidth="1"/>
    <col min="10" max="11" width="10.83203125" style="1" hidden="1" customWidth="1"/>
    <col min="12" max="12" width="22.5" style="1" hidden="1" customWidth="1"/>
    <col min="13" max="13" width="10.83203125" style="1" hidden="1" customWidth="1"/>
    <col min="14" max="14" width="14.5" style="1" hidden="1" customWidth="1"/>
    <col min="15" max="15" width="24.33203125" style="1" hidden="1" customWidth="1"/>
    <col min="16" max="16384" width="10.83203125" style="1"/>
  </cols>
  <sheetData>
    <row r="1" spans="2:15" ht="16">
      <c r="B1" s="400" t="s">
        <v>122</v>
      </c>
      <c r="C1" s="400"/>
      <c r="E1" s="396" t="s">
        <v>281</v>
      </c>
      <c r="F1" s="396"/>
      <c r="H1" s="396" t="s">
        <v>221</v>
      </c>
      <c r="I1" s="396"/>
      <c r="K1" s="396" t="s">
        <v>273</v>
      </c>
      <c r="L1" s="396"/>
      <c r="N1" s="396" t="s">
        <v>289</v>
      </c>
      <c r="O1" s="396"/>
    </row>
    <row r="2" spans="2:15" ht="23">
      <c r="B2" s="214" t="s">
        <v>123</v>
      </c>
      <c r="C2" s="214" t="s">
        <v>124</v>
      </c>
      <c r="E2" s="397" t="s">
        <v>222</v>
      </c>
      <c r="F2" s="398"/>
      <c r="H2" s="397" t="s">
        <v>222</v>
      </c>
      <c r="I2" s="398"/>
      <c r="K2" s="397" t="s">
        <v>222</v>
      </c>
      <c r="L2" s="398"/>
      <c r="N2" s="397" t="s">
        <v>222</v>
      </c>
      <c r="O2" s="398"/>
    </row>
    <row r="3" spans="2:15">
      <c r="B3" s="267" t="s">
        <v>96</v>
      </c>
      <c r="C3" s="215">
        <v>61350</v>
      </c>
      <c r="E3" s="216" t="s">
        <v>130</v>
      </c>
      <c r="F3" s="216" t="s">
        <v>131</v>
      </c>
      <c r="H3" s="216" t="s">
        <v>130</v>
      </c>
      <c r="I3" s="216" t="s">
        <v>131</v>
      </c>
      <c r="K3" s="216" t="s">
        <v>130</v>
      </c>
      <c r="L3" s="216" t="s">
        <v>131</v>
      </c>
      <c r="N3" s="216" t="s">
        <v>130</v>
      </c>
      <c r="O3" s="216" t="s">
        <v>131</v>
      </c>
    </row>
    <row r="4" spans="2:15">
      <c r="B4" s="267" t="s">
        <v>117</v>
      </c>
      <c r="C4" s="215">
        <v>71000</v>
      </c>
      <c r="E4" s="273" t="s">
        <v>132</v>
      </c>
      <c r="F4" s="213">
        <v>420</v>
      </c>
      <c r="G4" s="228"/>
      <c r="H4" s="273" t="s">
        <v>132</v>
      </c>
      <c r="I4" s="217">
        <v>270</v>
      </c>
      <c r="K4" s="273" t="s">
        <v>132</v>
      </c>
      <c r="L4" s="217">
        <v>300</v>
      </c>
      <c r="N4" s="273" t="s">
        <v>132</v>
      </c>
      <c r="O4" s="217">
        <v>420</v>
      </c>
    </row>
    <row r="5" spans="2:15" ht="16.5" customHeight="1">
      <c r="B5" s="267" t="s">
        <v>95</v>
      </c>
      <c r="C5" s="215">
        <v>48900</v>
      </c>
      <c r="E5" s="274" t="s">
        <v>186</v>
      </c>
      <c r="F5" s="250">
        <v>198</v>
      </c>
      <c r="H5" s="274" t="s">
        <v>186</v>
      </c>
      <c r="I5" s="217">
        <v>198</v>
      </c>
      <c r="K5" s="274" t="s">
        <v>186</v>
      </c>
      <c r="L5" s="217">
        <v>0</v>
      </c>
      <c r="N5" s="274" t="s">
        <v>186</v>
      </c>
      <c r="O5" s="217">
        <v>198</v>
      </c>
    </row>
    <row r="6" spans="2:15">
      <c r="B6" s="267" t="s">
        <v>220</v>
      </c>
      <c r="C6" s="215">
        <v>35900</v>
      </c>
      <c r="E6" s="273" t="s">
        <v>133</v>
      </c>
      <c r="F6" s="218">
        <v>37</v>
      </c>
      <c r="H6" s="273" t="s">
        <v>133</v>
      </c>
      <c r="I6" s="217">
        <v>37</v>
      </c>
      <c r="K6" s="273" t="s">
        <v>133</v>
      </c>
      <c r="L6" s="217">
        <v>0</v>
      </c>
      <c r="N6" s="273" t="s">
        <v>133</v>
      </c>
      <c r="O6" s="217">
        <v>37</v>
      </c>
    </row>
    <row r="7" spans="2:15">
      <c r="B7" s="267" t="s">
        <v>104</v>
      </c>
      <c r="C7" s="215">
        <v>41250</v>
      </c>
      <c r="E7" s="273" t="s">
        <v>134</v>
      </c>
      <c r="F7" s="218">
        <v>31</v>
      </c>
      <c r="H7" s="273" t="s">
        <v>134</v>
      </c>
      <c r="I7" s="217">
        <v>31</v>
      </c>
      <c r="K7" s="273" t="s">
        <v>134</v>
      </c>
      <c r="L7" s="217">
        <v>0</v>
      </c>
      <c r="N7" s="273" t="s">
        <v>134</v>
      </c>
      <c r="O7" s="217">
        <v>31</v>
      </c>
    </row>
    <row r="8" spans="2:15">
      <c r="B8" s="267" t="s">
        <v>93</v>
      </c>
      <c r="C8" s="215">
        <v>67000</v>
      </c>
    </row>
    <row r="9" spans="2:15">
      <c r="B9" s="267" t="s">
        <v>176</v>
      </c>
      <c r="C9" s="215">
        <v>27000</v>
      </c>
    </row>
    <row r="10" spans="2:15">
      <c r="B10" s="267" t="s">
        <v>125</v>
      </c>
      <c r="C10" s="215">
        <v>50944</v>
      </c>
      <c r="H10" s="5"/>
    </row>
    <row r="11" spans="2:15">
      <c r="B11" s="267" t="s">
        <v>126</v>
      </c>
      <c r="C11" s="215">
        <v>27000</v>
      </c>
      <c r="G11" s="10"/>
      <c r="H11" s="10"/>
      <c r="I11" s="44"/>
    </row>
    <row r="12" spans="2:15">
      <c r="B12" s="267" t="s">
        <v>26</v>
      </c>
      <c r="C12" s="215">
        <v>63680</v>
      </c>
    </row>
    <row r="13" spans="2:15">
      <c r="B13" s="267" t="s">
        <v>127</v>
      </c>
      <c r="C13" s="215">
        <v>58915</v>
      </c>
      <c r="N13" s="396" t="s">
        <v>288</v>
      </c>
      <c r="O13" s="396"/>
    </row>
    <row r="14" spans="2:15" ht="23">
      <c r="B14" s="267" t="s">
        <v>128</v>
      </c>
      <c r="C14" s="220">
        <v>0</v>
      </c>
      <c r="N14" s="397" t="s">
        <v>222</v>
      </c>
      <c r="O14" s="398"/>
    </row>
    <row r="15" spans="2:15">
      <c r="B15" s="267" t="s">
        <v>291</v>
      </c>
      <c r="C15" s="244" t="s">
        <v>292</v>
      </c>
      <c r="E15" s="394"/>
      <c r="F15" s="394"/>
      <c r="N15" s="216" t="s">
        <v>130</v>
      </c>
      <c r="O15" s="216" t="s">
        <v>131</v>
      </c>
    </row>
    <row r="16" spans="2:15">
      <c r="B16" s="268" t="s">
        <v>293</v>
      </c>
      <c r="C16" s="215">
        <v>67000</v>
      </c>
      <c r="E16" s="5"/>
      <c r="F16" s="5"/>
      <c r="N16" s="273" t="s">
        <v>132</v>
      </c>
      <c r="O16" s="217">
        <v>270</v>
      </c>
    </row>
    <row r="17" spans="2:15" ht="15">
      <c r="E17" s="5"/>
      <c r="F17" s="5"/>
      <c r="N17" s="274" t="s">
        <v>186</v>
      </c>
      <c r="O17" s="217">
        <v>198</v>
      </c>
    </row>
    <row r="18" spans="2:15">
      <c r="N18" s="273" t="s">
        <v>133</v>
      </c>
      <c r="O18" s="217">
        <v>37</v>
      </c>
    </row>
    <row r="19" spans="2:15">
      <c r="B19" s="399" t="s">
        <v>153</v>
      </c>
      <c r="C19" s="399"/>
      <c r="N19" s="273" t="s">
        <v>134</v>
      </c>
      <c r="O19" s="217">
        <v>31</v>
      </c>
    </row>
    <row r="20" spans="2:15">
      <c r="B20" s="269" t="s">
        <v>155</v>
      </c>
      <c r="C20" s="3">
        <v>110</v>
      </c>
    </row>
    <row r="21" spans="2:15">
      <c r="B21" s="269" t="s">
        <v>156</v>
      </c>
      <c r="C21" s="3">
        <v>70</v>
      </c>
    </row>
    <row r="22" spans="2:15">
      <c r="B22" s="269" t="s">
        <v>282</v>
      </c>
      <c r="C22" s="234">
        <v>4.9800000000000004</v>
      </c>
    </row>
    <row r="23" spans="2:15">
      <c r="B23" s="269" t="s">
        <v>158</v>
      </c>
      <c r="C23" s="235">
        <v>0.2</v>
      </c>
    </row>
    <row r="24" spans="2:15">
      <c r="B24" s="269" t="s">
        <v>159</v>
      </c>
      <c r="C24" s="3">
        <v>30000</v>
      </c>
    </row>
    <row r="25" spans="2:15">
      <c r="B25" s="269" t="s">
        <v>161</v>
      </c>
      <c r="C25" s="236">
        <v>43310</v>
      </c>
    </row>
    <row r="26" spans="2:15">
      <c r="B26" s="269" t="s">
        <v>283</v>
      </c>
      <c r="C26" s="3">
        <v>0.3</v>
      </c>
    </row>
    <row r="28" spans="2:15">
      <c r="B28" s="270" t="s">
        <v>129</v>
      </c>
      <c r="C28" s="219">
        <v>0.85</v>
      </c>
    </row>
    <row r="30" spans="2:15">
      <c r="B30" s="271" t="s">
        <v>285</v>
      </c>
      <c r="C30" s="266">
        <v>300</v>
      </c>
    </row>
    <row r="32" spans="2:15">
      <c r="B32" s="271" t="s">
        <v>287</v>
      </c>
      <c r="C32" s="243">
        <v>300</v>
      </c>
    </row>
    <row r="34" spans="2:3">
      <c r="B34" s="272" t="s">
        <v>290</v>
      </c>
      <c r="C34" s="244">
        <v>350</v>
      </c>
    </row>
    <row r="36" spans="2:3">
      <c r="B36" s="269" t="s">
        <v>274</v>
      </c>
      <c r="C36" s="229">
        <v>500</v>
      </c>
    </row>
    <row r="37" spans="2:3">
      <c r="B37" s="269" t="s">
        <v>275</v>
      </c>
      <c r="C37" s="229">
        <v>500</v>
      </c>
    </row>
  </sheetData>
  <sheetProtection algorithmName="SHA-512" hashValue="XgLdUTEqAAx9iW47JXU1pS1UljFv94GgO08Et32M9MmeH4YJea7lBcGpdAHRCkSxBZjPXoyy1KmO/aVq3sRGIw==" saltValue="gRuiv/0Ud7TLbGC/EdGDaQ==" spinCount="100000" sheet="1" objects="1" scenarios="1"/>
  <mergeCells count="13">
    <mergeCell ref="N13:O13"/>
    <mergeCell ref="N14:O14"/>
    <mergeCell ref="B19:C19"/>
    <mergeCell ref="B1:C1"/>
    <mergeCell ref="E1:F1"/>
    <mergeCell ref="E2:F2"/>
    <mergeCell ref="N1:O1"/>
    <mergeCell ref="N2:O2"/>
    <mergeCell ref="H1:I1"/>
    <mergeCell ref="H2:I2"/>
    <mergeCell ref="E15:F15"/>
    <mergeCell ref="K1:L1"/>
    <mergeCell ref="K2:L2"/>
  </mergeCell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5B77513B2124458730184DD665169E" ma:contentTypeVersion="15" ma:contentTypeDescription="Create a new document." ma:contentTypeScope="" ma:versionID="bc7d513bf49ec583d980df4e301511d9">
  <xsd:schema xmlns:xsd="http://www.w3.org/2001/XMLSchema" xmlns:xs="http://www.w3.org/2001/XMLSchema" xmlns:p="http://schemas.microsoft.com/office/2006/metadata/properties" xmlns:ns2="1328425f-5ead-4002-92bb-b7a36ae9089c" xmlns:ns3="9178744d-4507-4019-a2ff-80bff2b06e40" targetNamespace="http://schemas.microsoft.com/office/2006/metadata/properties" ma:root="true" ma:fieldsID="7f62d22998cfe4c10aab999a5d87b7b5" ns2:_="" ns3:_="">
    <xsd:import namespace="1328425f-5ead-4002-92bb-b7a36ae9089c"/>
    <xsd:import namespace="9178744d-4507-4019-a2ff-80bff2b06e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28425f-5ead-4002-92bb-b7a36ae908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e0c93c02-b8d1-460f-a12c-d6672d1fc0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78744d-4507-4019-a2ff-80bff2b06e40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526d259-dac8-4a10-b60c-8deb601a2b2c}" ma:internalName="TaxCatchAll" ma:showField="CatchAllData" ma:web="9178744d-4507-4019-a2ff-80bff2b06e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28425f-5ead-4002-92bb-b7a36ae9089c">
      <Terms xmlns="http://schemas.microsoft.com/office/infopath/2007/PartnerControls"/>
    </lcf76f155ced4ddcb4097134ff3c332f>
    <TaxCatchAll xmlns="9178744d-4507-4019-a2ff-80bff2b06e40" xsi:nil="true"/>
  </documentManagement>
</p:properties>
</file>

<file path=customXml/itemProps1.xml><?xml version="1.0" encoding="utf-8"?>
<ds:datastoreItem xmlns:ds="http://schemas.openxmlformats.org/officeDocument/2006/customXml" ds:itemID="{1D9EBDCD-69A8-46F0-8DEE-49D7DA3998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28425f-5ead-4002-92bb-b7a36ae9089c"/>
    <ds:schemaRef ds:uri="9178744d-4507-4019-a2ff-80bff2b06e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AC6216-8475-41F6-9B5A-79BEBAD2AEE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DEC362-4D18-43C2-9F8F-BEA67DAE7067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178744d-4507-4019-a2ff-80bff2b06e40"/>
    <ds:schemaRef ds:uri="http://www.w3.org/XML/1998/namespace"/>
    <ds:schemaRef ds:uri="1328425f-5ead-4002-92bb-b7a36ae9089c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FICHA</vt:lpstr>
      <vt:lpstr>DATOS</vt:lpstr>
      <vt:lpstr>PLANTILLA COSTO 1</vt:lpstr>
      <vt:lpstr>COSTOS SUBLIMACION</vt:lpstr>
      <vt:lpstr>PLANTILLA COSTO 2</vt:lpstr>
      <vt:lpstr>PLANTILLA COSTO 3</vt:lpstr>
      <vt:lpstr>PLANTILLA COSTO 4</vt:lpstr>
      <vt:lpstr>COSTOS </vt:lpstr>
      <vt:lpstr>FICHA!Área_de_impresión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Camila Pastrana Buitrago</dc:creator>
  <cp:lastModifiedBy>Daniel Diaz Ruiz</cp:lastModifiedBy>
  <cp:lastPrinted>2024-11-14T12:59:13Z</cp:lastPrinted>
  <dcterms:created xsi:type="dcterms:W3CDTF">2024-01-23T12:53:35Z</dcterms:created>
  <dcterms:modified xsi:type="dcterms:W3CDTF">2026-09-01T19:23:24Z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0x010100CE5B77513B2124458730184DD665169E</vt:lpwstr>
  </property>
  <property fmtid="{D5CDD505-2E9C-101B-9397-08002B2CF9AE}" pid="3" name="MediaServiceImageTags">
    <vt:lpwstr/>
  </property>
</Properties>
</file>